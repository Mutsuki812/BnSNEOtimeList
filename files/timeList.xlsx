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EC16BCD7-3A1A-454F-BE87-A5F6A348050F}" xr6:coauthVersionLast="47" xr6:coauthVersionMax="47" xr10:uidLastSave="{00000000-0000-0000-0000-000000000000}"/>
  <bookViews>
    <workbookView xWindow="-20220" yWindow="16290" windowWidth="20010" windowHeight="15360" tabRatio="758" xr2:uid="{00000000-000D-0000-FFFF-FFFF00000000}"/>
  </bookViews>
  <sheets>
    <sheet name="timeList" sheetId="8" r:id="rId1"/>
    <sheet name="S3_三四週" sheetId="10" r:id="rId2"/>
    <sheet name="S3_zh第二週" sheetId="9" r:id="rId3"/>
    <sheet name="S3_zh_jp_第一週" sheetId="7" r:id="rId4"/>
    <sheet name="S2_jp_20251015-20251112" sheetId="1" r:id="rId5"/>
    <sheet name="S2_zh第四週" sheetId="6" r:id="rId6"/>
    <sheet name="S2_zh第三週" sheetId="3" r:id="rId7"/>
    <sheet name="S2_zh第二週" sheetId="5" r:id="rId8"/>
    <sheet name="S2_zh第一週" sheetId="4" r:id="rId9"/>
    <sheet name="S1_20250903-1015" sheetId="2" r:id="rId10"/>
  </sheets>
  <definedNames>
    <definedName name="_xlnm._FilterDatabase" localSheetId="9" hidden="1">'S1_20250903-1015'!$B$1:$K$169</definedName>
    <definedName name="_xlnm._FilterDatabase" localSheetId="4" hidden="1">'S2_jp_20251015-20251112'!$B$1:$H$169</definedName>
    <definedName name="_xlnm._FilterDatabase" localSheetId="8" hidden="1">S2_zh第一週!$B$1:$H$169</definedName>
    <definedName name="_xlnm._FilterDatabase" localSheetId="6" hidden="1">S2_zh第三週!$B$1:$H$169</definedName>
    <definedName name="_xlnm._FilterDatabase" localSheetId="5" hidden="1">S2_zh第四週!$B$1:$H$169</definedName>
    <definedName name="_xlnm._FilterDatabase" localSheetId="7" hidden="1">S2_zh第二週!$B$1:$H$169</definedName>
    <definedName name="_xlnm._FilterDatabase" localSheetId="3" hidden="1">S3_zh_jp_第一週!$B$1:$H$169</definedName>
    <definedName name="_xlnm._FilterDatabase" localSheetId="2" hidden="1">S3_zh第二週!$B$1:$H$169</definedName>
    <definedName name="_xlnm._FilterDatabase" localSheetId="1" hidden="1">S3_三四週!$B$1:$K$169</definedName>
    <definedName name="_xlnm._FilterDatabase" localSheetId="0" hidden="1">timeList!$B$1:$K$169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69" i="10" l="1"/>
  <c r="O169" i="10"/>
  <c r="N169" i="10"/>
  <c r="P168" i="10"/>
  <c r="O168" i="10"/>
  <c r="N168" i="10"/>
  <c r="P167" i="10"/>
  <c r="O167" i="10"/>
  <c r="N167" i="10"/>
  <c r="P166" i="10"/>
  <c r="O166" i="10"/>
  <c r="N166" i="10"/>
  <c r="P165" i="10"/>
  <c r="O165" i="10"/>
  <c r="N165" i="10"/>
  <c r="P164" i="10"/>
  <c r="O164" i="10"/>
  <c r="N164" i="10"/>
  <c r="P163" i="10"/>
  <c r="O163" i="10"/>
  <c r="N163" i="10"/>
  <c r="P162" i="10"/>
  <c r="O162" i="10"/>
  <c r="N162" i="10"/>
  <c r="P161" i="10"/>
  <c r="O161" i="10"/>
  <c r="N161" i="10"/>
  <c r="P160" i="10"/>
  <c r="O160" i="10"/>
  <c r="N160" i="10"/>
  <c r="P159" i="10"/>
  <c r="O159" i="10"/>
  <c r="N159" i="10"/>
  <c r="P158" i="10"/>
  <c r="O158" i="10"/>
  <c r="N158" i="10"/>
  <c r="P157" i="10"/>
  <c r="O157" i="10"/>
  <c r="N157" i="10"/>
  <c r="P156" i="10"/>
  <c r="O156" i="10"/>
  <c r="N156" i="10"/>
  <c r="P155" i="10"/>
  <c r="O155" i="10"/>
  <c r="N155" i="10"/>
  <c r="P154" i="10"/>
  <c r="O154" i="10"/>
  <c r="N154" i="10"/>
  <c r="P153" i="10"/>
  <c r="O153" i="10"/>
  <c r="N153" i="10"/>
  <c r="P152" i="10"/>
  <c r="O152" i="10"/>
  <c r="N152" i="10"/>
  <c r="P151" i="10"/>
  <c r="O151" i="10"/>
  <c r="N151" i="10"/>
  <c r="P150" i="10"/>
  <c r="O150" i="10"/>
  <c r="N150" i="10"/>
  <c r="P149" i="10"/>
  <c r="O149" i="10"/>
  <c r="N149" i="10"/>
  <c r="P148" i="10"/>
  <c r="O148" i="10"/>
  <c r="N148" i="10"/>
  <c r="P147" i="10"/>
  <c r="O147" i="10"/>
  <c r="N147" i="10"/>
  <c r="P146" i="10"/>
  <c r="O146" i="10"/>
  <c r="N146" i="10"/>
  <c r="P145" i="10"/>
  <c r="O145" i="10"/>
  <c r="N145" i="10"/>
  <c r="P144" i="10"/>
  <c r="O144" i="10"/>
  <c r="N144" i="10"/>
  <c r="P143" i="10"/>
  <c r="O143" i="10"/>
  <c r="N143" i="10"/>
  <c r="P142" i="10"/>
  <c r="O142" i="10"/>
  <c r="N142" i="10"/>
  <c r="P141" i="10"/>
  <c r="O141" i="10"/>
  <c r="N141" i="10"/>
  <c r="P140" i="10"/>
  <c r="O140" i="10"/>
  <c r="N140" i="10"/>
  <c r="P139" i="10"/>
  <c r="O139" i="10"/>
  <c r="N139" i="10"/>
  <c r="P138" i="10"/>
  <c r="O138" i="10"/>
  <c r="N138" i="10"/>
  <c r="P137" i="10"/>
  <c r="O137" i="10"/>
  <c r="N137" i="10"/>
  <c r="P136" i="10"/>
  <c r="O136" i="10"/>
  <c r="N136" i="10"/>
  <c r="P135" i="10"/>
  <c r="O135" i="10"/>
  <c r="N135" i="10"/>
  <c r="P134" i="10"/>
  <c r="O134" i="10"/>
  <c r="N134" i="10"/>
  <c r="P133" i="10"/>
  <c r="O133" i="10"/>
  <c r="N133" i="10"/>
  <c r="P132" i="10"/>
  <c r="O132" i="10"/>
  <c r="N132" i="10"/>
  <c r="P131" i="10"/>
  <c r="O131" i="10"/>
  <c r="N131" i="10"/>
  <c r="P130" i="10"/>
  <c r="O130" i="10"/>
  <c r="N130" i="10"/>
  <c r="P129" i="10"/>
  <c r="O129" i="10"/>
  <c r="N129" i="10"/>
  <c r="P128" i="10"/>
  <c r="O128" i="10"/>
  <c r="N128" i="10"/>
  <c r="P127" i="10"/>
  <c r="O127" i="10"/>
  <c r="N127" i="10"/>
  <c r="P126" i="10"/>
  <c r="O126" i="10"/>
  <c r="N126" i="10"/>
  <c r="P125" i="10"/>
  <c r="O125" i="10"/>
  <c r="N125" i="10"/>
  <c r="P124" i="10"/>
  <c r="O124" i="10"/>
  <c r="N124" i="10"/>
  <c r="P123" i="10"/>
  <c r="O123" i="10"/>
  <c r="N123" i="10"/>
  <c r="P122" i="10"/>
  <c r="O122" i="10"/>
  <c r="N122" i="10"/>
  <c r="P121" i="10"/>
  <c r="O121" i="10"/>
  <c r="N121" i="10"/>
  <c r="P120" i="10"/>
  <c r="O120" i="10"/>
  <c r="N120" i="10"/>
  <c r="P119" i="10"/>
  <c r="O119" i="10"/>
  <c r="N119" i="10"/>
  <c r="P118" i="10"/>
  <c r="O118" i="10"/>
  <c r="N118" i="10"/>
  <c r="P117" i="10"/>
  <c r="O117" i="10"/>
  <c r="N117" i="10"/>
  <c r="P116" i="10"/>
  <c r="O116" i="10"/>
  <c r="N116" i="10"/>
  <c r="P115" i="10"/>
  <c r="O115" i="10"/>
  <c r="N115" i="10"/>
  <c r="P114" i="10"/>
  <c r="O114" i="10"/>
  <c r="N114" i="10"/>
  <c r="P113" i="10"/>
  <c r="O113" i="10"/>
  <c r="N113" i="10"/>
  <c r="P112" i="10"/>
  <c r="O112" i="10"/>
  <c r="N112" i="10"/>
  <c r="P111" i="10"/>
  <c r="O111" i="10"/>
  <c r="N111" i="10"/>
  <c r="P110" i="10"/>
  <c r="O110" i="10"/>
  <c r="N110" i="10"/>
  <c r="P109" i="10"/>
  <c r="O109" i="10"/>
  <c r="N109" i="10"/>
  <c r="P108" i="10"/>
  <c r="O108" i="10"/>
  <c r="N108" i="10"/>
  <c r="P107" i="10"/>
  <c r="O107" i="10"/>
  <c r="N107" i="10"/>
  <c r="P106" i="10"/>
  <c r="O106" i="10"/>
  <c r="N106" i="10"/>
  <c r="P105" i="10"/>
  <c r="O105" i="10"/>
  <c r="N105" i="10"/>
  <c r="P104" i="10"/>
  <c r="O104" i="10"/>
  <c r="N104" i="10"/>
  <c r="P103" i="10"/>
  <c r="O103" i="10"/>
  <c r="N103" i="10"/>
  <c r="P102" i="10"/>
  <c r="O102" i="10"/>
  <c r="N102" i="10"/>
  <c r="P101" i="10"/>
  <c r="O101" i="10"/>
  <c r="N101" i="10"/>
  <c r="P100" i="10"/>
  <c r="O100" i="10"/>
  <c r="N100" i="10"/>
  <c r="P99" i="10"/>
  <c r="O99" i="10"/>
  <c r="N99" i="10"/>
  <c r="P98" i="10"/>
  <c r="O98" i="10"/>
  <c r="N98" i="10"/>
  <c r="P97" i="10"/>
  <c r="O97" i="10"/>
  <c r="N97" i="10"/>
  <c r="P96" i="10"/>
  <c r="O96" i="10"/>
  <c r="N96" i="10"/>
  <c r="P95" i="10"/>
  <c r="O95" i="10"/>
  <c r="N95" i="10"/>
  <c r="P94" i="10"/>
  <c r="O94" i="10"/>
  <c r="N94" i="10"/>
  <c r="P93" i="10"/>
  <c r="O93" i="10"/>
  <c r="N93" i="10"/>
  <c r="P92" i="10"/>
  <c r="O92" i="10"/>
  <c r="N92" i="10"/>
  <c r="P91" i="10"/>
  <c r="O91" i="10"/>
  <c r="N91" i="10"/>
  <c r="P90" i="10"/>
  <c r="O90" i="10"/>
  <c r="N90" i="10"/>
  <c r="P89" i="10"/>
  <c r="O89" i="10"/>
  <c r="N89" i="10"/>
  <c r="P88" i="10"/>
  <c r="O88" i="10"/>
  <c r="N88" i="10"/>
  <c r="P87" i="10"/>
  <c r="O87" i="10"/>
  <c r="N87" i="10"/>
  <c r="P86" i="10"/>
  <c r="O86" i="10"/>
  <c r="N86" i="10"/>
  <c r="P85" i="10"/>
  <c r="O85" i="10"/>
  <c r="N85" i="10"/>
  <c r="P84" i="10"/>
  <c r="O84" i="10"/>
  <c r="N84" i="10"/>
  <c r="P83" i="10"/>
  <c r="O83" i="10"/>
  <c r="N83" i="10"/>
  <c r="P82" i="10"/>
  <c r="O82" i="10"/>
  <c r="N82" i="10"/>
  <c r="P81" i="10"/>
  <c r="O81" i="10"/>
  <c r="N81" i="10"/>
  <c r="P80" i="10"/>
  <c r="O80" i="10"/>
  <c r="N80" i="10"/>
  <c r="P79" i="10"/>
  <c r="O79" i="10"/>
  <c r="N79" i="10"/>
  <c r="P78" i="10"/>
  <c r="O78" i="10"/>
  <c r="N78" i="10"/>
  <c r="P77" i="10"/>
  <c r="O77" i="10"/>
  <c r="N77" i="10"/>
  <c r="P76" i="10"/>
  <c r="O76" i="10"/>
  <c r="N76" i="10"/>
  <c r="P75" i="10"/>
  <c r="O75" i="10"/>
  <c r="N75" i="10"/>
  <c r="P74" i="10"/>
  <c r="O74" i="10"/>
  <c r="N74" i="10"/>
  <c r="P73" i="10"/>
  <c r="O73" i="10"/>
  <c r="N73" i="10"/>
  <c r="P72" i="10"/>
  <c r="O72" i="10"/>
  <c r="N72" i="10"/>
  <c r="P71" i="10"/>
  <c r="O71" i="10"/>
  <c r="N71" i="10"/>
  <c r="P70" i="10"/>
  <c r="O70" i="10"/>
  <c r="N70" i="10"/>
  <c r="P69" i="10"/>
  <c r="O69" i="10"/>
  <c r="N69" i="10"/>
  <c r="P68" i="10"/>
  <c r="O68" i="10"/>
  <c r="N68" i="10"/>
  <c r="P67" i="10"/>
  <c r="O67" i="10"/>
  <c r="N67" i="10"/>
  <c r="P66" i="10"/>
  <c r="O66" i="10"/>
  <c r="N66" i="10"/>
  <c r="P65" i="10"/>
  <c r="O65" i="10"/>
  <c r="N65" i="10"/>
  <c r="P64" i="10"/>
  <c r="O64" i="10"/>
  <c r="N64" i="10"/>
  <c r="P63" i="10"/>
  <c r="O63" i="10"/>
  <c r="N63" i="10"/>
  <c r="P62" i="10"/>
  <c r="O62" i="10"/>
  <c r="N62" i="10"/>
  <c r="P61" i="10"/>
  <c r="O61" i="10"/>
  <c r="N61" i="10"/>
  <c r="P60" i="10"/>
  <c r="O60" i="10"/>
  <c r="N60" i="10"/>
  <c r="P59" i="10"/>
  <c r="O59" i="10"/>
  <c r="N59" i="10"/>
  <c r="P58" i="10"/>
  <c r="O58" i="10"/>
  <c r="N58" i="10"/>
  <c r="P57" i="10"/>
  <c r="O57" i="10"/>
  <c r="N57" i="10"/>
  <c r="P56" i="10"/>
  <c r="O56" i="10"/>
  <c r="N56" i="10"/>
  <c r="P55" i="10"/>
  <c r="O55" i="10"/>
  <c r="N55" i="10"/>
  <c r="P54" i="10"/>
  <c r="O54" i="10"/>
  <c r="N54" i="10"/>
  <c r="P53" i="10"/>
  <c r="O53" i="10"/>
  <c r="N53" i="10"/>
  <c r="P52" i="10"/>
  <c r="O52" i="10"/>
  <c r="N52" i="10"/>
  <c r="P51" i="10"/>
  <c r="O51" i="10"/>
  <c r="N51" i="10"/>
  <c r="P50" i="10"/>
  <c r="O50" i="10"/>
  <c r="N50" i="10"/>
  <c r="P49" i="10"/>
  <c r="O49" i="10"/>
  <c r="N49" i="10"/>
  <c r="P48" i="10"/>
  <c r="O48" i="10"/>
  <c r="N48" i="10"/>
  <c r="P47" i="10"/>
  <c r="O47" i="10"/>
  <c r="N47" i="10"/>
  <c r="P46" i="10"/>
  <c r="O46" i="10"/>
  <c r="N46" i="10"/>
  <c r="P45" i="10"/>
  <c r="O45" i="10"/>
  <c r="N45" i="10"/>
  <c r="P44" i="10"/>
  <c r="O44" i="10"/>
  <c r="N44" i="10"/>
  <c r="P43" i="10"/>
  <c r="O43" i="10"/>
  <c r="N43" i="10"/>
  <c r="P42" i="10"/>
  <c r="O42" i="10"/>
  <c r="N42" i="10"/>
  <c r="P41" i="10"/>
  <c r="O41" i="10"/>
  <c r="N41" i="10"/>
  <c r="P40" i="10"/>
  <c r="O40" i="10"/>
  <c r="N40" i="10"/>
  <c r="P39" i="10"/>
  <c r="O39" i="10"/>
  <c r="N39" i="10"/>
  <c r="P38" i="10"/>
  <c r="O38" i="10"/>
  <c r="N38" i="10"/>
  <c r="P37" i="10"/>
  <c r="O37" i="10"/>
  <c r="N37" i="10"/>
  <c r="P36" i="10"/>
  <c r="O36" i="10"/>
  <c r="N36" i="10"/>
  <c r="P35" i="10"/>
  <c r="O35" i="10"/>
  <c r="N35" i="10"/>
  <c r="P34" i="10"/>
  <c r="O34" i="10"/>
  <c r="N34" i="10"/>
  <c r="P33" i="10"/>
  <c r="O33" i="10"/>
  <c r="N33" i="10"/>
  <c r="P32" i="10"/>
  <c r="O32" i="10"/>
  <c r="N32" i="10"/>
  <c r="P31" i="10"/>
  <c r="O31" i="10"/>
  <c r="N31" i="10"/>
  <c r="P30" i="10"/>
  <c r="O30" i="10"/>
  <c r="N30" i="10"/>
  <c r="P29" i="10"/>
  <c r="O29" i="10"/>
  <c r="N29" i="10"/>
  <c r="P28" i="10"/>
  <c r="O28" i="10"/>
  <c r="N28" i="10"/>
  <c r="P27" i="10"/>
  <c r="O27" i="10"/>
  <c r="N27" i="10"/>
  <c r="P26" i="10"/>
  <c r="O26" i="10"/>
  <c r="N26" i="10"/>
  <c r="P25" i="10"/>
  <c r="O25" i="10"/>
  <c r="N25" i="10"/>
  <c r="P24" i="10"/>
  <c r="O24" i="10"/>
  <c r="N24" i="10"/>
  <c r="P23" i="10"/>
  <c r="O23" i="10"/>
  <c r="N23" i="10"/>
  <c r="P22" i="10"/>
  <c r="O22" i="10"/>
  <c r="N22" i="10"/>
  <c r="P21" i="10"/>
  <c r="O21" i="10"/>
  <c r="N21" i="10"/>
  <c r="P20" i="10"/>
  <c r="O20" i="10"/>
  <c r="N20" i="10"/>
  <c r="P19" i="10"/>
  <c r="O19" i="10"/>
  <c r="N19" i="10"/>
  <c r="P18" i="10"/>
  <c r="O18" i="10"/>
  <c r="N18" i="10"/>
  <c r="P17" i="10"/>
  <c r="O17" i="10"/>
  <c r="N17" i="10"/>
  <c r="P16" i="10"/>
  <c r="O16" i="10"/>
  <c r="N16" i="10"/>
  <c r="P15" i="10"/>
  <c r="O15" i="10"/>
  <c r="N15" i="10"/>
  <c r="P14" i="10"/>
  <c r="O14" i="10"/>
  <c r="N14" i="10"/>
  <c r="P13" i="10"/>
  <c r="O13" i="10"/>
  <c r="N13" i="10"/>
  <c r="P12" i="10"/>
  <c r="O12" i="10"/>
  <c r="N12" i="10"/>
  <c r="P11" i="10"/>
  <c r="O11" i="10"/>
  <c r="N11" i="10"/>
  <c r="P10" i="10"/>
  <c r="O10" i="10"/>
  <c r="N10" i="10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P169" i="8"/>
  <c r="O169" i="8"/>
  <c r="N169" i="8"/>
  <c r="P168" i="8"/>
  <c r="O168" i="8"/>
  <c r="N168" i="8"/>
  <c r="P167" i="8"/>
  <c r="O167" i="8"/>
  <c r="N167" i="8"/>
  <c r="P166" i="8"/>
  <c r="O166" i="8"/>
  <c r="N166" i="8"/>
  <c r="P165" i="8"/>
  <c r="O165" i="8"/>
  <c r="N165" i="8"/>
  <c r="P164" i="8"/>
  <c r="O164" i="8"/>
  <c r="N164" i="8"/>
  <c r="P163" i="8"/>
  <c r="O163" i="8"/>
  <c r="N163" i="8"/>
  <c r="P162" i="8"/>
  <c r="O162" i="8"/>
  <c r="N162" i="8"/>
  <c r="P161" i="8"/>
  <c r="O161" i="8"/>
  <c r="N161" i="8"/>
  <c r="P160" i="8"/>
  <c r="O160" i="8"/>
  <c r="N160" i="8"/>
  <c r="P159" i="8"/>
  <c r="O159" i="8"/>
  <c r="N159" i="8"/>
  <c r="P158" i="8"/>
  <c r="O158" i="8"/>
  <c r="N158" i="8"/>
  <c r="P157" i="8"/>
  <c r="O157" i="8"/>
  <c r="N157" i="8"/>
  <c r="P156" i="8"/>
  <c r="O156" i="8"/>
  <c r="N156" i="8"/>
  <c r="P155" i="8"/>
  <c r="O155" i="8"/>
  <c r="N155" i="8"/>
  <c r="P154" i="8"/>
  <c r="O154" i="8"/>
  <c r="N154" i="8"/>
  <c r="P153" i="8"/>
  <c r="O153" i="8"/>
  <c r="N153" i="8"/>
  <c r="P152" i="8"/>
  <c r="O152" i="8"/>
  <c r="N152" i="8"/>
  <c r="P151" i="8"/>
  <c r="O151" i="8"/>
  <c r="N151" i="8"/>
  <c r="P150" i="8"/>
  <c r="O150" i="8"/>
  <c r="N150" i="8"/>
  <c r="P149" i="8"/>
  <c r="O149" i="8"/>
  <c r="N149" i="8"/>
  <c r="P148" i="8"/>
  <c r="O148" i="8"/>
  <c r="N148" i="8"/>
  <c r="P147" i="8"/>
  <c r="O147" i="8"/>
  <c r="N147" i="8"/>
  <c r="P146" i="8"/>
  <c r="O146" i="8"/>
  <c r="N146" i="8"/>
  <c r="P145" i="8"/>
  <c r="O145" i="8"/>
  <c r="N145" i="8"/>
  <c r="P144" i="8"/>
  <c r="O144" i="8"/>
  <c r="N144" i="8"/>
  <c r="P143" i="8"/>
  <c r="O143" i="8"/>
  <c r="N143" i="8"/>
  <c r="P142" i="8"/>
  <c r="O142" i="8"/>
  <c r="N142" i="8"/>
  <c r="P141" i="8"/>
  <c r="O141" i="8"/>
  <c r="N141" i="8"/>
  <c r="P140" i="8"/>
  <c r="O140" i="8"/>
  <c r="N140" i="8"/>
  <c r="P139" i="8"/>
  <c r="O139" i="8"/>
  <c r="N139" i="8"/>
  <c r="P138" i="8"/>
  <c r="O138" i="8"/>
  <c r="N138" i="8"/>
  <c r="P137" i="8"/>
  <c r="O137" i="8"/>
  <c r="N137" i="8"/>
  <c r="P136" i="8"/>
  <c r="O136" i="8"/>
  <c r="N136" i="8"/>
  <c r="P135" i="8"/>
  <c r="O135" i="8"/>
  <c r="N135" i="8"/>
  <c r="P134" i="8"/>
  <c r="O134" i="8"/>
  <c r="N134" i="8"/>
  <c r="P133" i="8"/>
  <c r="O133" i="8"/>
  <c r="N133" i="8"/>
  <c r="P132" i="8"/>
  <c r="O132" i="8"/>
  <c r="N132" i="8"/>
  <c r="P131" i="8"/>
  <c r="O131" i="8"/>
  <c r="N131" i="8"/>
  <c r="P130" i="8"/>
  <c r="O130" i="8"/>
  <c r="N130" i="8"/>
  <c r="P129" i="8"/>
  <c r="O129" i="8"/>
  <c r="N129" i="8"/>
  <c r="P128" i="8"/>
  <c r="O128" i="8"/>
  <c r="N128" i="8"/>
  <c r="P127" i="8"/>
  <c r="O127" i="8"/>
  <c r="N127" i="8"/>
  <c r="P126" i="8"/>
  <c r="O126" i="8"/>
  <c r="N126" i="8"/>
  <c r="P125" i="8"/>
  <c r="O125" i="8"/>
  <c r="N125" i="8"/>
  <c r="P124" i="8"/>
  <c r="O124" i="8"/>
  <c r="N124" i="8"/>
  <c r="P123" i="8"/>
  <c r="O123" i="8"/>
  <c r="N123" i="8"/>
  <c r="P122" i="8"/>
  <c r="O122" i="8"/>
  <c r="N122" i="8"/>
  <c r="P121" i="8"/>
  <c r="O121" i="8"/>
  <c r="N121" i="8"/>
  <c r="P120" i="8"/>
  <c r="O120" i="8"/>
  <c r="N120" i="8"/>
  <c r="P119" i="8"/>
  <c r="O119" i="8"/>
  <c r="N119" i="8"/>
  <c r="P118" i="8"/>
  <c r="O118" i="8"/>
  <c r="N118" i="8"/>
  <c r="P117" i="8"/>
  <c r="O117" i="8"/>
  <c r="N117" i="8"/>
  <c r="P116" i="8"/>
  <c r="O116" i="8"/>
  <c r="N116" i="8"/>
  <c r="P115" i="8"/>
  <c r="O115" i="8"/>
  <c r="N115" i="8"/>
  <c r="P114" i="8"/>
  <c r="O114" i="8"/>
  <c r="N114" i="8"/>
  <c r="P113" i="8"/>
  <c r="O113" i="8"/>
  <c r="N113" i="8"/>
  <c r="P112" i="8"/>
  <c r="O112" i="8"/>
  <c r="N112" i="8"/>
  <c r="P111" i="8"/>
  <c r="O111" i="8"/>
  <c r="N111" i="8"/>
  <c r="P110" i="8"/>
  <c r="O110" i="8"/>
  <c r="N110" i="8"/>
  <c r="P109" i="8"/>
  <c r="O109" i="8"/>
  <c r="N109" i="8"/>
  <c r="P108" i="8"/>
  <c r="O108" i="8"/>
  <c r="N108" i="8"/>
  <c r="P107" i="8"/>
  <c r="O107" i="8"/>
  <c r="N107" i="8"/>
  <c r="P106" i="8"/>
  <c r="O106" i="8"/>
  <c r="N106" i="8"/>
  <c r="P105" i="8"/>
  <c r="O105" i="8"/>
  <c r="N105" i="8"/>
  <c r="P104" i="8"/>
  <c r="O104" i="8"/>
  <c r="N104" i="8"/>
  <c r="P103" i="8"/>
  <c r="O103" i="8"/>
  <c r="N103" i="8"/>
  <c r="P102" i="8"/>
  <c r="O102" i="8"/>
  <c r="N102" i="8"/>
  <c r="P101" i="8"/>
  <c r="O101" i="8"/>
  <c r="N101" i="8"/>
  <c r="P100" i="8"/>
  <c r="O100" i="8"/>
  <c r="N100" i="8"/>
  <c r="P99" i="8"/>
  <c r="O99" i="8"/>
  <c r="N99" i="8"/>
  <c r="P98" i="8"/>
  <c r="O98" i="8"/>
  <c r="N98" i="8"/>
  <c r="P97" i="8"/>
  <c r="O97" i="8"/>
  <c r="N97" i="8"/>
  <c r="P96" i="8"/>
  <c r="O96" i="8"/>
  <c r="N96" i="8"/>
  <c r="P95" i="8"/>
  <c r="O95" i="8"/>
  <c r="N95" i="8"/>
  <c r="P94" i="8"/>
  <c r="O94" i="8"/>
  <c r="N94" i="8"/>
  <c r="P93" i="8"/>
  <c r="O93" i="8"/>
  <c r="N93" i="8"/>
  <c r="P92" i="8"/>
  <c r="O92" i="8"/>
  <c r="N92" i="8"/>
  <c r="P91" i="8"/>
  <c r="O91" i="8"/>
  <c r="N91" i="8"/>
  <c r="P90" i="8"/>
  <c r="O90" i="8"/>
  <c r="N90" i="8"/>
  <c r="P89" i="8"/>
  <c r="O89" i="8"/>
  <c r="N89" i="8"/>
  <c r="P88" i="8"/>
  <c r="O88" i="8"/>
  <c r="N88" i="8"/>
  <c r="P87" i="8"/>
  <c r="O87" i="8"/>
  <c r="N87" i="8"/>
  <c r="P86" i="8"/>
  <c r="O86" i="8"/>
  <c r="N86" i="8"/>
  <c r="P85" i="8"/>
  <c r="O85" i="8"/>
  <c r="N85" i="8"/>
  <c r="P84" i="8"/>
  <c r="O84" i="8"/>
  <c r="N84" i="8"/>
  <c r="P83" i="8"/>
  <c r="O83" i="8"/>
  <c r="N83" i="8"/>
  <c r="P82" i="8"/>
  <c r="O82" i="8"/>
  <c r="N82" i="8"/>
  <c r="P81" i="8"/>
  <c r="O81" i="8"/>
  <c r="N81" i="8"/>
  <c r="P80" i="8"/>
  <c r="O80" i="8"/>
  <c r="N80" i="8"/>
  <c r="P79" i="8"/>
  <c r="O79" i="8"/>
  <c r="N79" i="8"/>
  <c r="P78" i="8"/>
  <c r="O78" i="8"/>
  <c r="N78" i="8"/>
  <c r="P77" i="8"/>
  <c r="O77" i="8"/>
  <c r="N77" i="8"/>
  <c r="P76" i="8"/>
  <c r="O76" i="8"/>
  <c r="N76" i="8"/>
  <c r="P75" i="8"/>
  <c r="O75" i="8"/>
  <c r="N75" i="8"/>
  <c r="P74" i="8"/>
  <c r="O74" i="8"/>
  <c r="N74" i="8"/>
  <c r="P73" i="8"/>
  <c r="O73" i="8"/>
  <c r="N73" i="8"/>
  <c r="P72" i="8"/>
  <c r="O72" i="8"/>
  <c r="N72" i="8"/>
  <c r="P71" i="8"/>
  <c r="O71" i="8"/>
  <c r="N71" i="8"/>
  <c r="P70" i="8"/>
  <c r="O70" i="8"/>
  <c r="N70" i="8"/>
  <c r="P69" i="8"/>
  <c r="O69" i="8"/>
  <c r="N69" i="8"/>
  <c r="P68" i="8"/>
  <c r="O68" i="8"/>
  <c r="N68" i="8"/>
  <c r="P67" i="8"/>
  <c r="O67" i="8"/>
  <c r="N67" i="8"/>
  <c r="P66" i="8"/>
  <c r="O66" i="8"/>
  <c r="N66" i="8"/>
  <c r="P65" i="8"/>
  <c r="O65" i="8"/>
  <c r="N65" i="8"/>
  <c r="P64" i="8"/>
  <c r="O64" i="8"/>
  <c r="N64" i="8"/>
  <c r="P63" i="8"/>
  <c r="O63" i="8"/>
  <c r="N63" i="8"/>
  <c r="P62" i="8"/>
  <c r="O62" i="8"/>
  <c r="N62" i="8"/>
  <c r="P61" i="8"/>
  <c r="O61" i="8"/>
  <c r="N61" i="8"/>
  <c r="P60" i="8"/>
  <c r="O60" i="8"/>
  <c r="N60" i="8"/>
  <c r="P59" i="8"/>
  <c r="O59" i="8"/>
  <c r="N59" i="8"/>
  <c r="P58" i="8"/>
  <c r="O58" i="8"/>
  <c r="N58" i="8"/>
  <c r="P57" i="8"/>
  <c r="O57" i="8"/>
  <c r="N57" i="8"/>
  <c r="P56" i="8"/>
  <c r="O56" i="8"/>
  <c r="N56" i="8"/>
  <c r="P55" i="8"/>
  <c r="O55" i="8"/>
  <c r="N55" i="8"/>
  <c r="P54" i="8"/>
  <c r="O54" i="8"/>
  <c r="N54" i="8"/>
  <c r="P53" i="8"/>
  <c r="O53" i="8"/>
  <c r="N53" i="8"/>
  <c r="P52" i="8"/>
  <c r="O52" i="8"/>
  <c r="N52" i="8"/>
  <c r="P51" i="8"/>
  <c r="O51" i="8"/>
  <c r="N51" i="8"/>
  <c r="P50" i="8"/>
  <c r="O50" i="8"/>
  <c r="N50" i="8"/>
  <c r="P49" i="8"/>
  <c r="O49" i="8"/>
  <c r="N49" i="8"/>
  <c r="P48" i="8"/>
  <c r="O48" i="8"/>
  <c r="N48" i="8"/>
  <c r="P47" i="8"/>
  <c r="O47" i="8"/>
  <c r="N47" i="8"/>
  <c r="P46" i="8"/>
  <c r="O46" i="8"/>
  <c r="N46" i="8"/>
  <c r="P45" i="8"/>
  <c r="O45" i="8"/>
  <c r="N45" i="8"/>
  <c r="P44" i="8"/>
  <c r="O44" i="8"/>
  <c r="N44" i="8"/>
  <c r="P43" i="8"/>
  <c r="O43" i="8"/>
  <c r="N43" i="8"/>
  <c r="P42" i="8"/>
  <c r="O42" i="8"/>
  <c r="N42" i="8"/>
  <c r="P41" i="8"/>
  <c r="O41" i="8"/>
  <c r="N41" i="8"/>
  <c r="P40" i="8"/>
  <c r="O40" i="8"/>
  <c r="N40" i="8"/>
  <c r="P39" i="8"/>
  <c r="O39" i="8"/>
  <c r="N39" i="8"/>
  <c r="P38" i="8"/>
  <c r="O38" i="8"/>
  <c r="N38" i="8"/>
  <c r="P37" i="8"/>
  <c r="O37" i="8"/>
  <c r="N37" i="8"/>
  <c r="P36" i="8"/>
  <c r="O36" i="8"/>
  <c r="N36" i="8"/>
  <c r="P35" i="8"/>
  <c r="O35" i="8"/>
  <c r="N35" i="8"/>
  <c r="P34" i="8"/>
  <c r="O34" i="8"/>
  <c r="N34" i="8"/>
  <c r="P33" i="8"/>
  <c r="O33" i="8"/>
  <c r="N33" i="8"/>
  <c r="P32" i="8"/>
  <c r="O32" i="8"/>
  <c r="N32" i="8"/>
  <c r="P31" i="8"/>
  <c r="O31" i="8"/>
  <c r="N31" i="8"/>
  <c r="P30" i="8"/>
  <c r="O30" i="8"/>
  <c r="N30" i="8"/>
  <c r="P29" i="8"/>
  <c r="O29" i="8"/>
  <c r="N29" i="8"/>
  <c r="P28" i="8"/>
  <c r="O28" i="8"/>
  <c r="N28" i="8"/>
  <c r="P27" i="8"/>
  <c r="O27" i="8"/>
  <c r="N27" i="8"/>
  <c r="P26" i="8"/>
  <c r="O26" i="8"/>
  <c r="N26" i="8"/>
  <c r="P25" i="8"/>
  <c r="O25" i="8"/>
  <c r="N25" i="8"/>
  <c r="P24" i="8"/>
  <c r="O24" i="8"/>
  <c r="N24" i="8"/>
  <c r="P23" i="8"/>
  <c r="O23" i="8"/>
  <c r="N23" i="8"/>
  <c r="P22" i="8"/>
  <c r="O22" i="8"/>
  <c r="N22" i="8"/>
  <c r="P21" i="8"/>
  <c r="O21" i="8"/>
  <c r="N21" i="8"/>
  <c r="P20" i="8"/>
  <c r="O20" i="8"/>
  <c r="N20" i="8"/>
  <c r="P19" i="8"/>
  <c r="O19" i="8"/>
  <c r="N19" i="8"/>
  <c r="P18" i="8"/>
  <c r="O18" i="8"/>
  <c r="N18" i="8"/>
  <c r="P17" i="8"/>
  <c r="O17" i="8"/>
  <c r="N17" i="8"/>
  <c r="P16" i="8"/>
  <c r="O16" i="8"/>
  <c r="N16" i="8"/>
  <c r="P15" i="8"/>
  <c r="O15" i="8"/>
  <c r="N15" i="8"/>
  <c r="P14" i="8"/>
  <c r="O14" i="8"/>
  <c r="N14" i="8"/>
  <c r="P13" i="8"/>
  <c r="O13" i="8"/>
  <c r="N13" i="8"/>
  <c r="P12" i="8"/>
  <c r="O12" i="8"/>
  <c r="N12" i="8"/>
  <c r="P11" i="8"/>
  <c r="O11" i="8"/>
  <c r="N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P2" i="8"/>
  <c r="O2" i="8"/>
  <c r="N2" i="8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<sst xmlns="http://schemas.openxmlformats.org/spreadsheetml/2006/main" count="11094" uniqueCount="1489">
  <si>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</si>
  <si>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</si>
  <si>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</si>
  <si>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</si>
  <si>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</si>
  <si>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</si>
  <si>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</si>
  <si>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</si>
  <si>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</si>
  <si>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</si>
  <si>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</si>
  <si>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</si>
  <si>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</si>
  <si>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</si>
  <si>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</si>
  <si>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</si>
  <si>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</si>
  <si>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</si>
  <si>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</si>
  <si>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</si>
  <si>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</si>
  <si>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</si>
  <si>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</si>
  <si>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</si>
  <si>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</si>
  <si>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</si>
  <si>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</si>
  <si>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</si>
  <si>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</si>
  <si>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</si>
  <si>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</si>
  <si>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</si>
  <si>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</si>
  <si>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</si>
  <si>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</si>
  <si>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</si>
  <si>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</si>
  <si>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</si>
  <si>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</si>
  <si>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</si>
  <si>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</si>
  <si>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</si>
  <si>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</si>
  <si>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</si>
  <si>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</si>
  <si>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</si>
  <si>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</si>
  <si>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</si>
  <si>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</si>
  <si>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</si>
  <si>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</si>
  <si>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</si>
  <si>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</si>
  <si>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</si>
  <si>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</si>
  <si>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</si>
  <si>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</si>
  <si>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</si>
  <si>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</si>
  <si>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</si>
  <si>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</si>
  <si>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</si>
  <si>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</si>
  <si>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</si>
  <si>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</si>
  <si>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</si>
  <si>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</si>
  <si>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</si>
  <si>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</si>
  <si>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</si>
  <si>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</si>
  <si>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</si>
  <si>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</si>
  <si>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</si>
  <si>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</si>
  <si>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</si>
  <si>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</si>
  <si>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</si>
  <si>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</si>
  <si>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</si>
  <si>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</si>
  <si>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</si>
  <si>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</si>
  <si>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</si>
  <si>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</si>
  <si>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</si>
  <si>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</si>
  <si>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</si>
  <si>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</si>
  <si>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</si>
  <si>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</si>
  <si>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</si>
  <si>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</si>
  <si>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</si>
  <si>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</si>
  <si>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</si>
  <si>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</si>
  <si>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</si>
  <si>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</si>
  <si>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</si>
  <si>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</si>
  <si>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</si>
  <si>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</si>
  <si>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</si>
  <si>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</si>
  <si>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</si>
  <si>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</si>
  <si>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</si>
  <si>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</si>
  <si>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</si>
  <si>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</si>
  <si>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</si>
  <si>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</si>
  <si>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</si>
  <si>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</si>
  <si>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</si>
  <si>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</si>
  <si>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</si>
  <si>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</si>
  <si>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</si>
  <si>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</si>
  <si>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</si>
  <si>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</si>
  <si>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</si>
  <si>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</si>
  <si>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</si>
  <si>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</si>
  <si>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</si>
  <si>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</si>
  <si>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</si>
  <si>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</si>
  <si>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</si>
  <si>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</si>
  <si>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</si>
  <si>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</si>
  <si>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</si>
  <si>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</si>
  <si>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</si>
  <si>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</si>
  <si>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</si>
  <si>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</si>
  <si>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</si>
  <si>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</si>
  <si>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</si>
  <si>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</si>
  <si>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</si>
  <si>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</si>
  <si>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</si>
  <si>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</si>
  <si>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</si>
  <si>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</si>
  <si>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</si>
  <si>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</si>
  <si>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</si>
  <si>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</si>
  <si>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</si>
  <si>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</si>
  <si>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</si>
  <si>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</si>
  <si>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</si>
  <si>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</si>
  <si>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</si>
  <si>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</si>
  <si>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</si>
  <si>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</si>
  <si>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</si>
  <si>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</si>
  <si>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</si>
  <si>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</si>
  <si>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</si>
  <si>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</si>
  <si>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</si>
  <si>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</si>
  <si>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</si>
  <si>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</si>
  <si>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</si>
  <si>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</si>
  <si>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</si>
  <si>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</si>
  <si>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</si>
  <si>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</si>
  <si>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</si>
  <si>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</si>
  <si>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</si>
  <si>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</si>
  <si>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</si>
  <si>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</si>
  <si>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</si>
  <si>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</si>
  <si>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</si>
  <si>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</si>
  <si>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</si>
  <si>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</si>
  <si>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</si>
  <si>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</si>
  <si>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</si>
  <si>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</si>
  <si>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</si>
  <si>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</si>
  <si>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</si>
  <si>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</si>
  <si>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</si>
  <si>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</si>
  <si>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</si>
  <si>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</si>
  <si>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</si>
  <si>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</si>
  <si>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</si>
  <si>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</si>
  <si>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</si>
  <si>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</si>
  <si>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</si>
  <si>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</si>
  <si>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</si>
  <si>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</si>
  <si>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</si>
  <si>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</si>
  <si>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</si>
  <si>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</si>
  <si>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</si>
  <si>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</si>
  <si>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</si>
  <si>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</si>
  <si>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</si>
  <si>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</si>
  <si>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</si>
  <si>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</si>
  <si>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</si>
  <si>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</si>
  <si>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</si>
  <si>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</si>
  <si>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</si>
  <si>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</si>
  <si>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</si>
  <si>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</si>
  <si>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</si>
  <si>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</si>
  <si>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</si>
  <si>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</si>
  <si>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</si>
  <si>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</si>
  <si>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</si>
  <si>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</si>
  <si>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</si>
  <si>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</si>
  <si>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</si>
  <si>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</si>
  <si>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</si>
  <si>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</si>
  <si>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</si>
  <si>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</si>
  <si>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</si>
  <si>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</si>
  <si>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</si>
  <si>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</si>
  <si>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</si>
  <si>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</si>
  <si>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</si>
  <si>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</si>
  <si>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</si>
  <si>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</si>
  <si>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</si>
  <si>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</si>
  <si>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</si>
  <si>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</si>
  <si>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</si>
  <si>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</si>
  <si>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</si>
  <si>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</si>
  <si>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</si>
  <si>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</si>
  <si>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</si>
  <si>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</si>
  <si>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</si>
  <si>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</si>
  <si>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</si>
  <si>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</si>
  <si>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</si>
  <si>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</si>
  <si>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</si>
  <si>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</si>
  <si>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</si>
  <si>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</si>
  <si>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</si>
  <si>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</si>
  <si>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</si>
  <si>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</si>
  <si>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</si>
  <si>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</si>
  <si>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</si>
  <si>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</si>
  <si>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</si>
  <si>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</si>
  <si>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</si>
  <si>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</si>
  <si>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</si>
  <si>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</si>
  <si>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</si>
  <si>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</si>
  <si>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</si>
  <si>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</si>
  <si>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</si>
  <si>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</si>
  <si>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</si>
  <si>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</si>
  <si>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</si>
  <si>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</si>
  <si>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</si>
  <si>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</si>
  <si>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</si>
  <si>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</si>
  <si>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</si>
  <si>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</si>
  <si>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</si>
  <si>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</si>
  <si>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</si>
  <si>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</si>
  <si>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</si>
  <si>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</si>
  <si>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</si>
  <si>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</si>
  <si>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</si>
  <si>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</si>
  <si>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</si>
  <si>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</si>
  <si>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</si>
  <si>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</si>
  <si>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</si>
  <si>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</si>
  <si>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</si>
  <si>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</si>
  <si>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</si>
  <si>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</si>
  <si>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</si>
  <si>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</si>
  <si>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</si>
  <si>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</si>
  <si>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</si>
  <si>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</si>
  <si>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</si>
  <si>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</si>
  <si>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</si>
  <si>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</si>
  <si>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</si>
  <si>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</si>
  <si>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</si>
  <si>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</si>
  <si>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</si>
  <si>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</si>
  <si>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</si>
  <si>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</si>
  <si>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</si>
  <si>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</si>
  <si>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</si>
  <si>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</si>
  <si>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</si>
  <si>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</si>
  <si>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</si>
  <si>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</si>
  <si>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</si>
  <si>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</si>
  <si>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</si>
  <si>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</si>
  <si>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</si>
  <si>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</si>
  <si>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</si>
  <si>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</si>
  <si>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</si>
  <si>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</si>
  <si>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</si>
  <si>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</si>
  <si>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</si>
  <si>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</si>
  <si>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</si>
  <si>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</si>
  <si>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</si>
  <si>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</si>
  <si>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</si>
  <si>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</si>
  <si>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</si>
  <si>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</si>
  <si>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</si>
  <si>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</si>
  <si>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</si>
  <si>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</si>
  <si>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</si>
  <si>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</si>
  <si>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</si>
  <si>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</si>
  <si>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</si>
  <si>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</si>
  <si>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</si>
  <si>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</si>
  <si>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</si>
  <si>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</si>
  <si>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</si>
  <si>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</si>
  <si>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</si>
  <si>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</si>
  <si>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</si>
  <si>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</si>
  <si>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</si>
  <si>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</si>
  <si>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</si>
  <si>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</si>
  <si>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</si>
  <si>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</si>
  <si>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</si>
  <si>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</si>
  <si>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</si>
  <si>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</si>
  <si>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</si>
  <si>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</si>
  <si>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</si>
  <si>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</si>
  <si>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</si>
  <si>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</si>
  <si>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</si>
  <si>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</si>
  <si>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</si>
  <si>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</si>
  <si>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</si>
  <si>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</si>
  <si>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</si>
  <si>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</si>
  <si>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</si>
  <si>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</si>
  <si>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</si>
  <si>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</si>
  <si>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</si>
  <si>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</si>
  <si>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</si>
  <si>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</si>
  <si>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</si>
  <si>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</si>
  <si>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</si>
  <si>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</si>
  <si>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</si>
  <si>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</si>
  <si>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</si>
  <si>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</si>
  <si>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</si>
  <si>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</si>
  <si>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</si>
  <si>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</si>
  <si>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</si>
  <si>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</si>
  <si>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</si>
  <si>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</si>
  <si>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</si>
  <si>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</si>
  <si>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</si>
  <si>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</si>
  <si>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</si>
  <si>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</si>
  <si>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</si>
  <si>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</si>
  <si>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</si>
  <si>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</si>
  <si>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</si>
  <si>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</si>
  <si>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</si>
  <si>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</si>
  <si>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</si>
  <si>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</si>
  <si>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</si>
  <si>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</si>
  <si>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</si>
  <si>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</si>
  <si>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</si>
  <si>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</si>
  <si>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</si>
  <si>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</si>
  <si>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</si>
  <si>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</si>
  <si>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</si>
  <si>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</si>
  <si>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</si>
  <si>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</si>
  <si>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</si>
  <si>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</si>
  <si>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</si>
  <si>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</si>
  <si>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</si>
  <si>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</si>
  <si>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</si>
  <si>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</si>
  <si>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</si>
  <si>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</si>
  <si>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</si>
  <si>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</si>
  <si>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</si>
  <si>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</si>
  <si>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</si>
  <si>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</si>
  <si>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</si>
  <si>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</si>
  <si>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</si>
  <si>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</si>
  <si>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</si>
  <si>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</si>
  <si>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</si>
  <si>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</si>
  <si>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</si>
  <si>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</si>
  <si>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</si>
  <si>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</si>
  <si>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</si>
  <si>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</si>
  <si>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</si>
  <si>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</si>
  <si>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</si>
  <si>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</si>
  <si>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</si>
  <si>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</si>
  <si>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</si>
  <si>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</si>
  <si>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</si>
  <si>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</si>
  <si>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</si>
  <si>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</si>
  <si>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</si>
  <si>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</si>
  <si>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</si>
  <si>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</si>
  <si>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</si>
  <si>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</si>
  <si>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</si>
  <si>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</si>
  <si>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</si>
  <si>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</si>
  <si>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</si>
  <si>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</si>
  <si>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</si>
  <si>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</si>
  <si>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</si>
  <si>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</si>
  <si>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</si>
  <si>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</si>
  <si>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</si>
  <si>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</si>
  <si>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</si>
  <si>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</si>
  <si>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</si>
  <si>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</si>
  <si>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</si>
  <si>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</si>
  <si>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</si>
  <si>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</si>
  <si>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</si>
  <si>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</si>
  <si>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</si>
  <si>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</si>
  <si>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</si>
  <si>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</si>
  <si>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</si>
  <si>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</si>
  <si>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</si>
  <si>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</si>
  <si>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</si>
  <si>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</si>
  <si>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</si>
  <si>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</si>
  <si>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</si>
  <si>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</si>
  <si>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</si>
  <si>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</si>
  <si>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</si>
  <si>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</si>
  <si>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</si>
  <si>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</si>
  <si>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</si>
  <si>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</si>
  <si>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</si>
  <si>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</si>
  <si>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</si>
  <si>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</si>
  <si>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</si>
  <si>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</si>
  <si>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</si>
  <si>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</si>
  <si>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</si>
  <si>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</si>
  <si>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</si>
  <si>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</si>
  <si>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</si>
  <si>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</si>
  <si>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</si>
  <si>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</si>
  <si>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</si>
  <si>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</si>
  <si>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</si>
  <si>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</si>
  <si>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</si>
  <si>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</si>
  <si>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</si>
  <si>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</si>
  <si>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</si>
  <si>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</si>
  <si>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</si>
  <si>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</si>
  <si>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</si>
  <si>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</si>
  <si>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</si>
  <si>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</si>
  <si>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</si>
  <si>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</si>
  <si>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</si>
  <si>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</si>
  <si>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</si>
  <si>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</si>
  <si>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</si>
  <si>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</si>
  <si>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</si>
  <si>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</si>
  <si>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</si>
  <si>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</si>
  <si>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</si>
  <si>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</si>
  <si>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</si>
  <si>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</si>
  <si>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</si>
  <si>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</si>
  <si>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</si>
  <si>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</si>
  <si>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</si>
  <si>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</si>
  <si>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</si>
  <si>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</si>
  <si>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</si>
  <si>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</si>
  <si>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</si>
  <si>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</si>
  <si>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</si>
  <si>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</si>
  <si>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</si>
  <si>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</si>
  <si>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</si>
  <si>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</si>
  <si>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</si>
  <si>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</si>
  <si>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</si>
  <si>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</si>
  <si>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</si>
  <si>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</si>
  <si>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</si>
  <si>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</si>
  <si>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</si>
  <si>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</si>
  <si>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</si>
  <si>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</si>
  <si>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</si>
  <si>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</si>
  <si>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</si>
  <si>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</si>
  <si>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</si>
  <si>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</si>
  <si>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</si>
  <si>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</si>
  <si>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</si>
  <si>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</si>
  <si>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</si>
  <si>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</si>
  <si>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</si>
  <si>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</si>
  <si>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</si>
  <si>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</si>
  <si>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</si>
  <si>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</si>
  <si>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</si>
  <si>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</si>
  <si>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</si>
  <si>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</si>
  <si>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</si>
  <si>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</si>
  <si>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</si>
  <si>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</si>
  <si>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</si>
  <si>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</si>
  <si>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</si>
  <si>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</si>
  <si>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</si>
  <si>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</si>
  <si>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</si>
  <si>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</si>
  <si>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</si>
  <si>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</si>
  <si>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</si>
  <si>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</si>
  <si>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</si>
  <si>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</si>
  <si>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</si>
  <si>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</si>
  <si>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</si>
  <si>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</si>
  <si>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</si>
  <si>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</si>
  <si>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</si>
  <si>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</si>
  <si>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</si>
  <si>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</si>
  <si>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</si>
  <si>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</si>
  <si>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</si>
  <si>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</si>
  <si>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</si>
  <si>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</si>
  <si>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</si>
  <si>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</si>
  <si>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</si>
  <si>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</si>
  <si>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</si>
  <si>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</si>
  <si>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</si>
  <si>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</si>
  <si>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</si>
  <si>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</si>
  <si>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</si>
  <si>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</si>
  <si>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</si>
  <si>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</si>
  <si>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</si>
  <si>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</si>
  <si>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</si>
  <si>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</si>
  <si>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</si>
  <si>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</si>
  <si>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</si>
  <si>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</si>
  <si>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</si>
  <si>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</si>
  <si>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</si>
  <si>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</si>
  <si>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</si>
  <si>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</si>
  <si>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</si>
  <si>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</si>
  <si>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</si>
  <si>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</si>
  <si>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</si>
  <si>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</si>
  <si>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</si>
  <si>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</si>
  <si>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</si>
  <si>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</si>
  <si>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</si>
  <si>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</si>
  <si>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</si>
  <si>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</si>
  <si>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</si>
  <si>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</si>
  <si>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</si>
  <si>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</si>
  <si>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</si>
  <si>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</si>
  <si>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</si>
  <si>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</si>
  <si>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</si>
  <si>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</si>
  <si>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</si>
  <si>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</si>
  <si>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</si>
  <si>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</si>
  <si>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</si>
  <si>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</si>
  <si>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</si>
  <si>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</si>
  <si>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</si>
  <si>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</si>
  <si>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</si>
  <si>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</si>
  <si>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</si>
  <si>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</si>
  <si>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</si>
  <si>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</si>
  <si>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</si>
  <si>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</si>
  <si>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</si>
  <si>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</si>
  <si>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</si>
  <si>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</si>
  <si>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</si>
  <si>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</si>
  <si>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</si>
  <si>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</si>
  <si>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</si>
  <si>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</si>
  <si>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</si>
  <si>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</si>
  <si>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</si>
  <si>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</si>
  <si>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</si>
  <si>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</si>
  <si>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</si>
  <si>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</si>
  <si>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</si>
  <si>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</si>
  <si>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</si>
  <si>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</si>
  <si>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</si>
  <si>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</si>
  <si>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</si>
  <si>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</si>
  <si>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</si>
  <si>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</si>
  <si>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</si>
  <si>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</si>
  <si>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</si>
  <si>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</si>
  <si>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</si>
  <si>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</si>
  <si>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</si>
  <si>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</si>
  <si>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</si>
  <si>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</si>
  <si>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</si>
  <si>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</si>
  <si>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</si>
  <si>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</si>
  <si>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</si>
  <si>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</si>
  <si>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</si>
  <si>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</si>
  <si>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</si>
  <si>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</si>
  <si>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</si>
  <si>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</si>
  <si>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</si>
  <si>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</si>
  <si>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</si>
  <si>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</si>
  <si>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</si>
  <si>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</si>
  <si>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</si>
  <si>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</si>
  <si>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</si>
  <si>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</si>
  <si>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</si>
  <si>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</si>
  <si>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</si>
  <si>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</si>
  <si>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</si>
  <si>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</si>
  <si>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</si>
  <si>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</si>
  <si>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</si>
  <si>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</si>
  <si>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</si>
  <si>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</si>
  <si>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</si>
  <si>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</si>
  <si>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</si>
  <si>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</si>
  <si>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</si>
  <si>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</si>
  <si>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</si>
  <si>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</si>
  <si>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</si>
  <si>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</si>
  <si>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</si>
  <si>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</si>
  <si>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</si>
  <si>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</si>
  <si>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</si>
  <si>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</si>
  <si>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</si>
  <si>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</si>
  <si>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</si>
  <si>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</si>
  <si>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</si>
  <si>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</si>
  <si>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</si>
  <si>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</si>
  <si>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</si>
  <si>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</si>
  <si>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</si>
  <si>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</si>
  <si>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</si>
  <si>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</si>
  <si>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</si>
  <si>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</si>
  <si>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</si>
  <si>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</si>
  <si>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</si>
  <si>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</si>
  <si>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</si>
  <si>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</si>
  <si>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</si>
  <si>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</si>
  <si>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</si>
  <si>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</si>
  <si>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</si>
  <si>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</si>
  <si>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</si>
  <si>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</si>
  <si>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</si>
  <si>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</si>
  <si>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</si>
  <si>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</si>
  <si>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</si>
  <si>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</si>
  <si>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</si>
  <si>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</si>
  <si>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</si>
  <si>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</si>
  <si>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</si>
  <si>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</si>
  <si>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</si>
  <si>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</si>
  <si>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</si>
  <si>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</si>
  <si>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</si>
  <si>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</si>
  <si>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</si>
  <si>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</si>
  <si>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</si>
  <si>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</si>
  <si>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</si>
  <si>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</si>
  <si>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</si>
  <si>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</si>
  <si>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</si>
  <si>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</si>
  <si>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</si>
  <si>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</si>
  <si>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</si>
  <si>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</si>
  <si>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</si>
  <si>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</si>
  <si>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</si>
  <si>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</si>
  <si>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</si>
  <si>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</si>
  <si>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</si>
  <si>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</si>
  <si>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</si>
  <si>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</si>
  <si>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</si>
  <si>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</si>
  <si>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</si>
  <si>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</si>
  <si>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</si>
  <si>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</si>
  <si>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</si>
  <si>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</si>
  <si>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</si>
  <si>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</si>
  <si>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</si>
  <si>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</si>
  <si>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</si>
  <si>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</si>
  <si>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</si>
  <si>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</si>
  <si>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</si>
  <si>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</si>
  <si>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</si>
  <si>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</si>
  <si>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</si>
  <si>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</si>
  <si>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</si>
  <si>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</si>
  <si>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</si>
  <si>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</si>
  <si>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</si>
  <si>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</si>
  <si>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</si>
  <si>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</si>
  <si>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</si>
  <si>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</si>
  <si>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</si>
  <si>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</si>
  <si>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</si>
  <si>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</si>
  <si>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</si>
  <si>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</si>
  <si>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</si>
  <si>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</si>
  <si>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</si>
  <si>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</si>
  <si>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</si>
  <si>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</si>
  <si>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</si>
  <si>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</si>
  <si>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</si>
  <si>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</si>
  <si>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</si>
  <si>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</si>
  <si>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</si>
  <si>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</si>
  <si>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</si>
  <si>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</si>
  <si>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</si>
  <si>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</si>
  <si>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</si>
  <si>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</si>
  <si>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</si>
  <si>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</si>
  <si>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</si>
  <si>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</si>
  <si>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</si>
  <si>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</si>
  <si>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</si>
  <si>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</si>
  <si>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</si>
  <si>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</si>
  <si>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</si>
  <si>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</si>
  <si>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</si>
  <si>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</si>
  <si>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</si>
  <si>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</si>
  <si>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</si>
  <si>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</si>
  <si>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</si>
  <si>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</si>
  <si>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</si>
  <si>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</si>
  <si>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</si>
  <si>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</si>
  <si>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</si>
  <si>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</si>
  <si>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</si>
  <si>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</si>
  <si>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</si>
  <si>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</si>
  <si>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</si>
  <si>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</si>
  <si>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</si>
  <si>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</si>
  <si>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</si>
  <si>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</si>
  <si>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</si>
  <si>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</si>
  <si>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</si>
  <si>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</si>
  <si>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</si>
  <si>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</si>
  <si>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</si>
  <si>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</si>
  <si>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</si>
  <si>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</si>
  <si>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</si>
  <si>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</si>
  <si>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</si>
  <si>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</si>
  <si>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</si>
  <si>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</si>
  <si>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</si>
  <si>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</si>
  <si>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</si>
  <si>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</si>
  <si>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</si>
  <si>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</si>
  <si>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</si>
  <si>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</si>
  <si>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</si>
  <si>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</si>
  <si>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</si>
  <si>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</si>
  <si>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</si>
  <si>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</si>
  <si>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</si>
  <si>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</si>
  <si>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</si>
  <si>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</si>
  <si>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</si>
  <si>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</si>
  <si>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</si>
  <si>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</si>
  <si>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</si>
  <si>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</si>
  <si>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</si>
  <si>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</si>
  <si>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</si>
  <si>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</si>
  <si>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</si>
  <si>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</si>
  <si>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</si>
  <si>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</si>
  <si>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</si>
  <si>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</si>
  <si>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</si>
  <si>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</si>
  <si>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</si>
  <si>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</si>
  <si>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</si>
  <si>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</si>
  <si>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</si>
  <si>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</si>
  <si>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</si>
  <si>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</si>
  <si>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</si>
  <si>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</si>
  <si>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</si>
  <si>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</si>
  <si>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</si>
  <si>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</si>
  <si>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</si>
  <si>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</si>
  <si>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</si>
  <si>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</si>
  <si>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</si>
  <si>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</si>
  <si>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</si>
  <si>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</si>
  <si>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</si>
  <si>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</si>
  <si>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</si>
  <si>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</si>
  <si>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</si>
  <si>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</si>
  <si>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</si>
  <si>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</si>
  <si>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</si>
  <si>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</si>
  <si>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</si>
  <si>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</si>
  <si>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</si>
  <si>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</si>
  <si>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</si>
  <si>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</si>
  <si>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</si>
  <si>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</si>
  <si>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</si>
  <si>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</si>
  <si>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</si>
  <si>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</si>
  <si>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</si>
  <si>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</si>
  <si>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</si>
  <si>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</si>
  <si>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</si>
  <si>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</si>
  <si>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</si>
  <si>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</si>
  <si>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</si>
  <si>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</si>
  <si>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</si>
  <si>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</si>
  <si>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</si>
  <si>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</si>
  <si>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</si>
  <si>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</si>
  <si>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</si>
  <si>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</si>
  <si>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</si>
  <si>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</si>
  <si>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</si>
  <si>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</si>
  <si>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</si>
  <si>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</si>
  <si>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</si>
  <si>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</si>
  <si>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</si>
  <si>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</si>
  <si>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</si>
  <si>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</si>
  <si>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</si>
  <si>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</si>
  <si>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</si>
  <si>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</si>
  <si>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</si>
  <si>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</si>
  <si>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</si>
  <si>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</si>
  <si>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</si>
  <si>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</si>
  <si>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</si>
  <si>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</si>
  <si>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</si>
  <si>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</si>
  <si>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</si>
  <si>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</si>
  <si>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</si>
  <si>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</si>
  <si>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</si>
  <si>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</si>
  <si>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</si>
  <si>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</si>
  <si>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</si>
  <si>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</si>
  <si>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</si>
  <si>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</si>
  <si>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</si>
  <si>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</si>
  <si>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</si>
  <si>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</si>
  <si>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</si>
  <si>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</si>
  <si>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</si>
  <si>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</si>
  <si>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</si>
  <si>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</si>
  <si>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</si>
  <si>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</si>
  <si>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</si>
  <si>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</si>
  <si>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</si>
  <si>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</si>
  <si>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</si>
  <si>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</si>
  <si>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</si>
  <si>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</si>
  <si>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</si>
  <si>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</si>
  <si>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</si>
  <si>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</si>
  <si>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</si>
  <si>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</si>
  <si>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</si>
  <si>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</si>
  <si>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</si>
  <si>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</si>
  <si>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</si>
  <si>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</si>
  <si>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</si>
  <si>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</si>
  <si>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</si>
  <si>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</si>
  <si>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</si>
  <si>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</si>
  <si>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</si>
  <si>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</si>
  <si>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</si>
  <si>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</si>
  <si>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</si>
  <si>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</si>
  <si>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</si>
  <si>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</si>
  <si>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</si>
  <si>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</si>
  <si>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</si>
  <si>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</si>
  <si>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</si>
  <si>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</si>
  <si>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</si>
  <si>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</si>
  <si>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</si>
  <si>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</si>
  <si>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</si>
  <si>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</si>
  <si>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</si>
  <si>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</si>
  <si>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</si>
  <si>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</si>
  <si>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</si>
  <si>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</si>
  <si>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</si>
  <si>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</si>
  <si>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</si>
  <si>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</si>
  <si>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</si>
  <si>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</si>
  <si>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</si>
  <si>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</si>
  <si>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</si>
  <si>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</si>
  <si>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</si>
  <si>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</si>
  <si>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</si>
  <si>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</si>
  <si>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</si>
  <si>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</si>
  <si>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</si>
  <si>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</si>
  <si>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</si>
  <si>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</si>
  <si>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</si>
  <si>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</si>
  <si>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</si>
  <si>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</si>
  <si>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</si>
  <si>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</si>
  <si>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</si>
  <si>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</si>
  <si>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</si>
  <si>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</si>
  <si>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</si>
  <si>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</si>
  <si>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</si>
  <si>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</si>
  <si>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</si>
  <si>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</si>
  <si>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</si>
  <si>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</si>
  <si>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</si>
  <si>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</si>
  <si>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</si>
  <si>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</si>
  <si>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</si>
  <si>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</si>
  <si>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</si>
  <si>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</si>
  <si>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</si>
  <si>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</si>
  <si>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</si>
  <si>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</si>
  <si>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</si>
  <si>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</si>
  <si>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</si>
  <si>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</si>
  <si>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</si>
  <si>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</si>
  <si>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</si>
  <si>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</si>
  <si>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</si>
  <si>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</si>
  <si>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</si>
  <si>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</si>
  <si>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</si>
  <si>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</si>
  <si>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</si>
  <si>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</si>
  <si>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</si>
  <si>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</si>
  <si>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</si>
  <si>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</si>
  <si>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</si>
  <si>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</si>
  <si>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</si>
  <si>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</si>
  <si>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</si>
  <si>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</si>
  <si>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</si>
  <si>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</si>
  <si>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</si>
  <si>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</si>
  <si>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</si>
  <si>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</si>
  <si>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</si>
  <si>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</si>
  <si>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</si>
  <si>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</si>
  <si>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</si>
  <si>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</si>
  <si>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</si>
  <si>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</si>
  <si>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</si>
  <si>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</si>
  <si>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</si>
  <si>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</si>
  <si>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</si>
  <si>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</si>
  <si>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</si>
  <si>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</si>
  <si>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</si>
  <si>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</si>
  <si>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</si>
  <si>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</si>
  <si>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</si>
  <si>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</si>
  <si>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</si>
  <si>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</si>
  <si>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</si>
  <si>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</si>
  <si>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</si>
  <si>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</si>
  <si>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</si>
  <si>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</si>
  <si>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</si>
  <si>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</si>
  <si>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</si>
  <si>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</si>
  <si>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</si>
  <si>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</si>
  <si>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</si>
  <si>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</si>
  <si>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</si>
  <si>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</si>
  <si>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</si>
  <si>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</si>
  <si>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</si>
  <si>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</si>
  <si>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</si>
  <si>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</si>
  <si>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</si>
  <si>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</si>
  <si>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</si>
  <si>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</si>
  <si>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</si>
  <si>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</si>
  <si>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</si>
  <si>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</si>
  <si>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</si>
  <si>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</si>
  <si>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</si>
  <si>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</si>
  <si>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</si>
  <si>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</si>
  <si>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</si>
  <si>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</si>
  <si>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</si>
  <si>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</si>
  <si>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</si>
  <si>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</si>
  <si>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</si>
  <si>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</si>
  <si>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</si>
  <si>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</si>
  <si>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</si>
  <si>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</si>
  <si>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</si>
  <si>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</si>
  <si>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新緑</t>
  </si>
  <si>
    <t>戒狼村 / 悪鬼都市</t>
  </si>
  <si>
    <t>黒影林 / 悪鬼都市</t>
  </si>
  <si>
    <t>孤独の村 / 悪鬼都市</t>
  </si>
  <si>
    <t>黒影林 / 孤独の村</t>
  </si>
  <si>
    <t>孤独の村 / 染色工房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</si>
  <si>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</si>
  <si>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</si>
  <si>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</si>
  <si>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</si>
  <si>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</si>
  <si>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</si>
  <si>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 xml:space="preserve">巨岩の海岸 / 海岸旅館 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</si>
  <si>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</si>
  <si>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</si>
  <si>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</si>
  <si>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</si>
  <si>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</si>
  <si>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巨岩海岸 / 豬豬農場</t>
    <phoneticPr fontId="2"/>
  </si>
  <si>
    <t>21:04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</si>
  <si>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</si>
  <si>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</si>
  <si>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</si>
  <si>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</si>
  <si>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</si>
  <si>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</si>
  <si>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</si>
  <si>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</si>
  <si>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</si>
  <si>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</si>
  <si>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</si>
  <si>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13:34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</si>
  <si>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</si>
  <si>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</si>
  <si>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</si>
  <si>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</si>
  <si>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</si>
  <si>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</si>
  <si>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</si>
  <si>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</si>
  <si>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</si>
  <si>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</si>
  <si>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</si>
  <si>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</si>
  <si>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</si>
  <si>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 xml:space="preserve">黒影林 / 海岸旅館 </t>
    <phoneticPr fontId="2"/>
  </si>
  <si>
    <t>18:57</t>
    <phoneticPr fontId="2"/>
  </si>
  <si>
    <t>巨岩の海岸 / 武運村</t>
    <phoneticPr fontId="2"/>
  </si>
  <si>
    <t>02:40</t>
    <phoneticPr fontId="2"/>
  </si>
  <si>
    <t>黑森林 / 孤村</t>
    <phoneticPr fontId="2"/>
  </si>
  <si>
    <t>黒影林 / 孤独の村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</si>
  <si>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</si>
  <si>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</si>
  <si>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</si>
  <si>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</si>
  <si>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</si>
  <si>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</si>
  <si>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</si>
  <si>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</si>
  <si>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</si>
  <si>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</si>
  <si>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</si>
  <si>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</si>
  <si>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</si>
  <si>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</si>
  <si>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</si>
  <si>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</si>
  <si>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</si>
  <si>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</si>
  <si>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</si>
  <si>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</si>
  <si>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</si>
  <si>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</si>
  <si>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</si>
  <si>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</si>
  <si>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</si>
  <si>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</si>
  <si>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</si>
  <si>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</si>
  <si>
    <t>05:00</t>
    <phoneticPr fontId="2"/>
  </si>
  <si>
    <r>
      <t>0</t>
    </r>
    <r>
      <rPr>
        <sz val="10"/>
        <rFont val="游ゴシック"/>
        <family val="2"/>
        <charset val="128"/>
      </rPr>
      <t>5</t>
    </r>
    <r>
      <rPr>
        <sz val="10"/>
        <rFont val="Microsoft JhengHei UI"/>
        <family val="2"/>
      </rPr>
      <t>-</t>
    </r>
    <r>
      <rPr>
        <sz val="10"/>
        <rFont val="游ゴシック"/>
        <family val="2"/>
        <charset val="128"/>
      </rPr>
      <t>10</t>
    </r>
    <r>
      <rPr>
        <sz val="10"/>
        <rFont val="Microsoft JhengHei UI"/>
        <family val="2"/>
      </rPr>
      <t xml:space="preserve">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</si>
  <si>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05-10 定期メンテナンス中</t>
  </si>
  <si>
    <t>03:30</t>
    <phoneticPr fontId="2"/>
  </si>
  <si>
    <t>04:00</t>
    <phoneticPr fontId="2"/>
  </si>
  <si>
    <t>0330 - 11 例行維護中</t>
  </si>
  <si>
    <t>0330 - 11 例行維護中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</si>
</sst>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6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</cellXfs>
  <cellStyles count="1">
    <cellStyle name="一般" xfId="0" builtinId="0"/>
  </cellStyles>
  <dxfs count="41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zoomScale="85" zoomScaleNormal="85" workbookViewId="0">
      <pane ySplit="1" topLeftCell="A34" activePane="bottomLeft" state="frozen"/>
      <selection pane="bottomLeft" activeCell="I39" sqref="I39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18.375" style="212" bestFit="1" customWidth="1"/>
    <col min="5" max="5" width="22.5" style="144" bestFit="1" customWidth="1"/>
    <col min="6" max="6" width="15.625" style="144" bestFit="1" customWidth="1"/>
    <col min="7" max="7" width="18.375" style="212" bestFit="1" customWidth="1"/>
    <col min="8" max="8" width="22.5" style="144" bestFit="1" customWidth="1"/>
    <col min="9" max="9" width="15.25" style="144" bestFit="1" customWidth="1"/>
    <col min="10" max="10" width="18.375" style="212" bestFit="1" customWidth="1"/>
    <col min="11" max="11" width="22.5" style="144" bestFit="1" customWidth="1"/>
    <col min="12" max="12" width="3.5" style="144" bestFit="1" customWidth="1"/>
    <col min="13" max="13" width="3.375" style="144" bestFit="1" customWidth="1"/>
    <col min="14" max="16" width="6.625" style="143" bestFit="1" customWidth="1"/>
    <col min="17" max="16384" width="14.2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/>
      <c r="G2" s="149"/>
      <c r="H2" s="149"/>
      <c r="I2" s="150"/>
      <c r="J2" s="149"/>
      <c r="K2" s="149"/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/>
      </c>
      <c r="P2" s="143" t="str">
        <f>IF($I2&lt;&gt;"",TEXT($I2,"HH:MM"),"")</f>
        <v/>
      </c>
    </row>
    <row r="3" spans="1:16" ht="18" customHeight="1">
      <c r="A3" s="148" t="s">
        <v>36</v>
      </c>
      <c r="B3" s="149" t="s">
        <v>60</v>
      </c>
      <c r="C3" s="150"/>
      <c r="D3" s="149"/>
      <c r="E3" s="149"/>
      <c r="F3" s="150"/>
      <c r="G3" s="149"/>
      <c r="H3" s="149"/>
      <c r="I3" s="150"/>
      <c r="J3" s="149"/>
      <c r="K3" s="149"/>
      <c r="L3" s="148" t="s">
        <v>36</v>
      </c>
      <c r="M3" s="149" t="s">
        <v>60</v>
      </c>
      <c r="N3" s="143" t="str">
        <f t="shared" ref="N3:N66" si="0">IF($C3&lt;&gt;"",TEXT($C3,"HH:MM"),"")</f>
        <v/>
      </c>
      <c r="O3" s="143" t="str">
        <f t="shared" ref="O3:O66" si="1">IF($F3&lt;&gt;"",TEXT($F3,"HH:MM"),"")</f>
        <v/>
      </c>
      <c r="P3" s="143" t="str">
        <f t="shared" ref="P3:P66" si="2">IF($I3&lt;&gt;"",TEXT($I3,"HH:MM"),"")</f>
        <v/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149"/>
      <c r="H4" s="149"/>
      <c r="I4" s="150"/>
      <c r="J4" s="149"/>
      <c r="K4" s="149"/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/>
      </c>
      <c r="P4" s="143" t="str">
        <f t="shared" si="2"/>
        <v/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/>
      <c r="G6" s="149"/>
      <c r="H6" s="149"/>
      <c r="I6" s="148"/>
      <c r="J6" s="149"/>
      <c r="K6" s="149"/>
      <c r="L6" s="148" t="s">
        <v>32</v>
      </c>
      <c r="M6" s="149" t="s">
        <v>60</v>
      </c>
      <c r="N6" s="143" t="str">
        <f t="shared" si="0"/>
        <v/>
      </c>
      <c r="O6" s="143" t="str">
        <f t="shared" si="1"/>
        <v/>
      </c>
      <c r="P6" s="143" t="str">
        <f t="shared" si="2"/>
        <v/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/>
      <c r="G7" s="149"/>
      <c r="H7" s="149"/>
      <c r="I7" s="150"/>
      <c r="J7" s="149"/>
      <c r="K7" s="149"/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/>
      </c>
      <c r="P7" s="143" t="str">
        <f t="shared" si="2"/>
        <v/>
      </c>
    </row>
    <row r="8" spans="1:16" ht="18" customHeight="1">
      <c r="A8" s="148" t="s">
        <v>30</v>
      </c>
      <c r="B8" s="149" t="s">
        <v>60</v>
      </c>
      <c r="C8" s="287"/>
      <c r="D8" s="149"/>
      <c r="E8" s="149"/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/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/>
      <c r="G9" s="149"/>
      <c r="H9" s="149"/>
      <c r="I9" s="150"/>
      <c r="J9" s="149"/>
      <c r="K9" s="149"/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/>
      </c>
      <c r="P9" s="143" t="str">
        <f t="shared" si="2"/>
        <v/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/>
      <c r="G10" s="149"/>
      <c r="H10" s="149"/>
      <c r="I10" s="148"/>
      <c r="J10" s="149"/>
      <c r="K10" s="149"/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/>
      </c>
      <c r="P10" s="143" t="str">
        <f t="shared" si="2"/>
        <v/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/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/>
      <c r="G12" s="149"/>
      <c r="H12" s="149"/>
      <c r="I12" s="150"/>
      <c r="J12" s="149"/>
      <c r="K12" s="149"/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/>
      </c>
      <c r="P12" s="143" t="str">
        <f t="shared" si="2"/>
        <v/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/>
      <c r="G13" s="149"/>
      <c r="H13" s="149"/>
      <c r="I13" s="148"/>
      <c r="J13" s="149"/>
      <c r="K13" s="149"/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/>
      </c>
      <c r="P13" s="143" t="str">
        <f t="shared" si="2"/>
        <v/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/>
      <c r="G15" s="149"/>
      <c r="H15" s="149"/>
      <c r="I15" s="150"/>
      <c r="J15" s="149"/>
      <c r="K15" s="149"/>
      <c r="L15" s="148" t="s">
        <v>21</v>
      </c>
      <c r="M15" s="149" t="s">
        <v>60</v>
      </c>
      <c r="N15" s="143" t="str">
        <f t="shared" si="0"/>
        <v/>
      </c>
      <c r="O15" s="143" t="str">
        <f t="shared" si="1"/>
        <v/>
      </c>
      <c r="P15" s="143" t="str">
        <f t="shared" si="2"/>
        <v/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/>
      <c r="G16" s="149"/>
      <c r="H16" s="149"/>
      <c r="I16" s="148"/>
      <c r="J16" s="149"/>
      <c r="K16" s="149"/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/>
      </c>
      <c r="P16" s="143" t="str">
        <f t="shared" si="2"/>
        <v/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/>
      <c r="G18" s="149"/>
      <c r="H18" s="149"/>
      <c r="I18" s="148"/>
      <c r="J18" s="149"/>
      <c r="K18" s="149"/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/>
      </c>
      <c r="P18" s="143" t="str">
        <f t="shared" si="2"/>
        <v/>
      </c>
    </row>
    <row r="19" spans="1:16" ht="18" customHeight="1">
      <c r="A19" s="148" t="s">
        <v>15</v>
      </c>
      <c r="B19" s="149" t="s">
        <v>60</v>
      </c>
      <c r="C19" s="149"/>
      <c r="D19" s="149"/>
      <c r="E19" s="149"/>
      <c r="F19" s="150"/>
      <c r="G19" s="149"/>
      <c r="H19" s="149"/>
      <c r="I19" s="150"/>
      <c r="J19" s="149"/>
      <c r="K19" s="149"/>
      <c r="L19" s="148" t="s">
        <v>15</v>
      </c>
      <c r="M19" s="149" t="s">
        <v>60</v>
      </c>
      <c r="N19" s="143" t="str">
        <f t="shared" si="0"/>
        <v/>
      </c>
      <c r="O19" s="143" t="str">
        <f t="shared" si="1"/>
        <v/>
      </c>
      <c r="P19" s="143" t="str">
        <f t="shared" si="2"/>
        <v/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/>
      <c r="G21" s="149"/>
      <c r="H21" s="149"/>
      <c r="I21" s="148"/>
      <c r="J21" s="149"/>
      <c r="K21" s="149"/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/>
      </c>
      <c r="P21" s="143" t="str">
        <f t="shared" si="2"/>
        <v/>
      </c>
    </row>
    <row r="22" spans="1:16" ht="18" customHeight="1">
      <c r="A22" s="148" t="s">
        <v>9</v>
      </c>
      <c r="B22" s="149" t="s">
        <v>60</v>
      </c>
      <c r="C22" s="150"/>
      <c r="D22" s="149"/>
      <c r="E22" s="149"/>
      <c r="F22" s="150"/>
      <c r="G22" s="149"/>
      <c r="H22" s="149"/>
      <c r="I22" s="150"/>
      <c r="J22" s="149"/>
      <c r="K22" s="149"/>
      <c r="L22" s="148" t="s">
        <v>9</v>
      </c>
      <c r="M22" s="149" t="s">
        <v>60</v>
      </c>
      <c r="N22" s="143" t="str">
        <f t="shared" si="0"/>
        <v/>
      </c>
      <c r="O22" s="143" t="str">
        <f t="shared" si="1"/>
        <v/>
      </c>
      <c r="P22" s="143" t="str">
        <f t="shared" si="2"/>
        <v/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/>
      <c r="G24" s="149"/>
      <c r="H24" s="149"/>
      <c r="I24" s="148"/>
      <c r="J24" s="149"/>
      <c r="K24" s="149"/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/>
      </c>
      <c r="P24" s="143" t="str">
        <f t="shared" si="2"/>
        <v/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155"/>
      <c r="H25" s="155"/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/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/>
      <c r="D26" s="158"/>
      <c r="E26" s="158"/>
      <c r="F26" s="159"/>
      <c r="G26" s="158"/>
      <c r="H26" s="158"/>
      <c r="I26" s="293"/>
      <c r="J26" s="158"/>
      <c r="K26" s="158"/>
      <c r="L26" s="157" t="s">
        <v>37</v>
      </c>
      <c r="M26" s="158" t="s">
        <v>58</v>
      </c>
      <c r="N26" s="143" t="str">
        <f t="shared" si="0"/>
        <v/>
      </c>
      <c r="O26" s="143" t="str">
        <f t="shared" si="1"/>
        <v/>
      </c>
      <c r="P26" s="143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/>
      <c r="G27" s="160"/>
      <c r="H27" s="160"/>
      <c r="I27" s="162"/>
      <c r="J27" s="160"/>
      <c r="K27" s="160"/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/>
      </c>
      <c r="P27" s="143" t="str">
        <f t="shared" si="2"/>
        <v/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/>
      <c r="J28" s="160"/>
      <c r="K28" s="160"/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/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/>
      <c r="G29" s="160"/>
      <c r="H29" s="160"/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/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/>
      <c r="G30" s="160"/>
      <c r="H30" s="160"/>
      <c r="I30" s="162"/>
      <c r="J30" s="160"/>
      <c r="K30" s="160"/>
      <c r="L30" s="157" t="s">
        <v>32</v>
      </c>
      <c r="M30" s="160" t="s">
        <v>58</v>
      </c>
      <c r="N30" s="143" t="str">
        <f t="shared" si="0"/>
        <v/>
      </c>
      <c r="O30" s="143" t="str">
        <f t="shared" si="1"/>
        <v/>
      </c>
      <c r="P30" s="143" t="str">
        <f t="shared" si="2"/>
        <v/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160"/>
      <c r="H31" s="160"/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/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/>
      <c r="J32" s="160"/>
      <c r="K32" s="160"/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/>
      </c>
    </row>
    <row r="33" spans="1:16" ht="18" customHeight="1">
      <c r="A33" s="157" t="s">
        <v>29</v>
      </c>
      <c r="B33" s="160" t="s">
        <v>58</v>
      </c>
      <c r="C33" s="288"/>
      <c r="D33" s="160"/>
      <c r="E33" s="160"/>
      <c r="F33" s="162"/>
      <c r="G33" s="160"/>
      <c r="H33" s="160"/>
      <c r="I33" s="162"/>
      <c r="J33" s="160"/>
      <c r="K33" s="160"/>
      <c r="L33" s="157" t="s">
        <v>29</v>
      </c>
      <c r="M33" s="160" t="s">
        <v>58</v>
      </c>
      <c r="N33" s="143" t="str">
        <f t="shared" si="0"/>
        <v/>
      </c>
      <c r="O33" s="143" t="str">
        <f t="shared" si="1"/>
        <v/>
      </c>
      <c r="P33" s="143" t="str">
        <f t="shared" si="2"/>
        <v/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/>
      <c r="G35" s="160"/>
      <c r="H35" s="160"/>
      <c r="I35" s="294"/>
      <c r="J35" s="160"/>
      <c r="K35" s="160"/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/>
      </c>
      <c r="P35" s="143" t="str">
        <f t="shared" si="2"/>
        <v/>
      </c>
    </row>
    <row r="36" spans="1:16" ht="18" customHeight="1">
      <c r="A36" s="157" t="s">
        <v>25</v>
      </c>
      <c r="B36" s="160" t="s">
        <v>58</v>
      </c>
      <c r="C36" s="162"/>
      <c r="D36" s="160"/>
      <c r="E36" s="160"/>
      <c r="F36" s="162"/>
      <c r="G36" s="160"/>
      <c r="H36" s="160"/>
      <c r="I36" s="162"/>
      <c r="J36" s="160"/>
      <c r="K36" s="160"/>
      <c r="L36" s="157" t="s">
        <v>25</v>
      </c>
      <c r="M36" s="160" t="s">
        <v>58</v>
      </c>
      <c r="N36" s="143" t="str">
        <f t="shared" si="0"/>
        <v/>
      </c>
      <c r="O36" s="143" t="str">
        <f t="shared" si="1"/>
        <v/>
      </c>
      <c r="P36" s="143" t="str">
        <f t="shared" si="2"/>
        <v/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160"/>
      <c r="H38" s="160"/>
      <c r="I38" s="163"/>
      <c r="J38" s="160"/>
      <c r="K38" s="160"/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/>
      </c>
      <c r="P38" s="143" t="str">
        <f t="shared" si="2"/>
        <v/>
      </c>
    </row>
    <row r="39" spans="1:16" ht="18" customHeight="1">
      <c r="A39" s="157" t="s">
        <v>21</v>
      </c>
      <c r="B39" s="160" t="s">
        <v>58</v>
      </c>
      <c r="C39" s="162"/>
      <c r="D39" s="160"/>
      <c r="E39" s="160"/>
      <c r="F39" s="162"/>
      <c r="G39" s="160"/>
      <c r="H39" s="160"/>
      <c r="I39" s="289"/>
      <c r="J39" s="160"/>
      <c r="K39" s="160"/>
      <c r="L39" s="157" t="s">
        <v>21</v>
      </c>
      <c r="M39" s="160" t="s">
        <v>58</v>
      </c>
      <c r="N39" s="143" t="str">
        <f t="shared" si="0"/>
        <v/>
      </c>
      <c r="O39" s="143" t="str">
        <f t="shared" si="1"/>
        <v/>
      </c>
      <c r="P39" s="143" t="str">
        <f t="shared" si="2"/>
        <v/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160"/>
      <c r="H41" s="160"/>
      <c r="I41" s="162"/>
      <c r="J41" s="160"/>
      <c r="K41" s="160"/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/>
      </c>
      <c r="P41" s="143" t="str">
        <f t="shared" si="2"/>
        <v/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/>
      <c r="G42" s="160"/>
      <c r="H42" s="160"/>
      <c r="I42" s="164"/>
      <c r="J42" s="160"/>
      <c r="K42" s="160"/>
      <c r="L42" s="157" t="s">
        <v>16</v>
      </c>
      <c r="M42" s="160" t="s">
        <v>58</v>
      </c>
      <c r="N42" s="143" t="str">
        <f t="shared" si="0"/>
        <v/>
      </c>
      <c r="O42" s="143" t="str">
        <f t="shared" si="1"/>
        <v/>
      </c>
      <c r="P42" s="143" t="str">
        <f t="shared" si="2"/>
        <v/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/>
      <c r="D44" s="160"/>
      <c r="E44" s="160"/>
      <c r="F44" s="161"/>
      <c r="G44" s="160"/>
      <c r="H44" s="160"/>
      <c r="I44" s="163"/>
      <c r="J44" s="160"/>
      <c r="K44" s="160"/>
      <c r="L44" s="157" t="s">
        <v>12</v>
      </c>
      <c r="M44" s="160" t="s">
        <v>58</v>
      </c>
      <c r="N44" s="143" t="str">
        <f t="shared" si="0"/>
        <v/>
      </c>
      <c r="O44" s="143" t="str">
        <f t="shared" si="1"/>
        <v/>
      </c>
      <c r="P44" s="143" t="str">
        <f t="shared" si="2"/>
        <v/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/>
      <c r="G45" s="160"/>
      <c r="H45" s="160"/>
      <c r="I45" s="162"/>
      <c r="J45" s="160"/>
      <c r="K45" s="160"/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/>
      </c>
      <c r="P45" s="143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/>
      <c r="G47" s="160"/>
      <c r="H47" s="160"/>
      <c r="I47" s="162"/>
      <c r="J47" s="160"/>
      <c r="K47" s="160"/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/>
      </c>
      <c r="P47" s="143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/>
      <c r="G48" s="160"/>
      <c r="H48" s="160"/>
      <c r="I48" s="164"/>
      <c r="J48" s="160"/>
      <c r="K48" s="160"/>
      <c r="L48" s="157" t="s">
        <v>5</v>
      </c>
      <c r="M48" s="160" t="s">
        <v>58</v>
      </c>
      <c r="N48" s="143" t="str">
        <f t="shared" si="0"/>
        <v/>
      </c>
      <c r="O48" s="143" t="str">
        <f t="shared" si="1"/>
        <v/>
      </c>
      <c r="P48" s="143" t="str">
        <f t="shared" si="2"/>
        <v/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1451</v>
      </c>
      <c r="D52" s="290" t="s">
        <v>1452</v>
      </c>
      <c r="E52" s="171" t="s">
        <v>1453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 t="s">
        <v>1485</v>
      </c>
      <c r="D53" s="171" t="s">
        <v>1487</v>
      </c>
      <c r="E53" s="171"/>
      <c r="F53" s="172" t="s">
        <v>1305</v>
      </c>
      <c r="G53" s="171" t="s">
        <v>1487</v>
      </c>
      <c r="H53" s="171" t="s">
        <v>1016</v>
      </c>
      <c r="I53" s="172" t="s">
        <v>259</v>
      </c>
      <c r="J53" s="171" t="s">
        <v>1487</v>
      </c>
      <c r="K53" s="171" t="s">
        <v>1403</v>
      </c>
      <c r="L53" s="168" t="s">
        <v>33</v>
      </c>
      <c r="M53" s="171" t="s">
        <v>55</v>
      </c>
      <c r="N53" s="143" t="str">
        <f t="shared" si="0"/>
        <v>03:30</v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 t="s">
        <v>1486</v>
      </c>
      <c r="D54" s="171" t="s">
        <v>1487</v>
      </c>
      <c r="E54" s="171"/>
      <c r="F54" s="290" t="s">
        <v>1460</v>
      </c>
      <c r="G54" s="171" t="s">
        <v>1487</v>
      </c>
      <c r="H54" s="171" t="s">
        <v>1017</v>
      </c>
      <c r="I54" s="290" t="s">
        <v>1470</v>
      </c>
      <c r="J54" s="171" t="s">
        <v>1487</v>
      </c>
      <c r="K54" s="171" t="s">
        <v>1015</v>
      </c>
      <c r="L54" s="168" t="s">
        <v>32</v>
      </c>
      <c r="M54" s="171" t="s">
        <v>55</v>
      </c>
      <c r="N54" s="143" t="str">
        <f t="shared" si="0"/>
        <v>04:00</v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290" t="s">
        <v>1482</v>
      </c>
      <c r="D55" s="171" t="s">
        <v>1487</v>
      </c>
      <c r="E55" s="171" t="s">
        <v>1484</v>
      </c>
      <c r="F55" s="172" t="s">
        <v>199</v>
      </c>
      <c r="G55" s="171" t="s">
        <v>1487</v>
      </c>
      <c r="H55" s="171" t="s">
        <v>1484</v>
      </c>
      <c r="I55" s="172" t="s">
        <v>199</v>
      </c>
      <c r="J55" s="171" t="s">
        <v>1487</v>
      </c>
      <c r="K55" s="171" t="s">
        <v>1484</v>
      </c>
      <c r="L55" s="168" t="s">
        <v>31</v>
      </c>
      <c r="M55" s="171" t="s">
        <v>55</v>
      </c>
      <c r="N55" s="143" t="str">
        <f t="shared" si="0"/>
        <v>05:00</v>
      </c>
      <c r="O55" s="143" t="str">
        <f t="shared" si="1"/>
        <v>05:00</v>
      </c>
      <c r="P55" s="143" t="str">
        <f t="shared" si="2"/>
        <v>05:00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1488</v>
      </c>
      <c r="E56" s="171" t="s">
        <v>1483</v>
      </c>
      <c r="F56" s="172" t="s">
        <v>77</v>
      </c>
      <c r="G56" s="171" t="s">
        <v>1487</v>
      </c>
      <c r="H56" s="171" t="s">
        <v>1484</v>
      </c>
      <c r="I56" s="171" t="s">
        <v>77</v>
      </c>
      <c r="J56" s="171" t="s">
        <v>1487</v>
      </c>
      <c r="K56" s="171" t="s">
        <v>1484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1487</v>
      </c>
      <c r="E57" s="171" t="s">
        <v>1484</v>
      </c>
      <c r="F57" s="171" t="s">
        <v>81</v>
      </c>
      <c r="G57" s="171" t="s">
        <v>1487</v>
      </c>
      <c r="H57" s="171" t="s">
        <v>1484</v>
      </c>
      <c r="I57" s="171" t="s">
        <v>81</v>
      </c>
      <c r="J57" s="171" t="s">
        <v>1487</v>
      </c>
      <c r="K57" s="171" t="s">
        <v>1484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1487</v>
      </c>
      <c r="E58" s="171" t="s">
        <v>1484</v>
      </c>
      <c r="F58" s="171" t="s">
        <v>78</v>
      </c>
      <c r="G58" s="171" t="s">
        <v>1487</v>
      </c>
      <c r="H58" s="171" t="s">
        <v>1484</v>
      </c>
      <c r="I58" s="171" t="s">
        <v>78</v>
      </c>
      <c r="J58" s="171" t="s">
        <v>1487</v>
      </c>
      <c r="K58" s="171" t="s">
        <v>1484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1487</v>
      </c>
      <c r="E59" s="295" t="s">
        <v>1484</v>
      </c>
      <c r="F59" s="171" t="s">
        <v>79</v>
      </c>
      <c r="G59" s="171" t="s">
        <v>1487</v>
      </c>
      <c r="H59" s="171" t="s">
        <v>1484</v>
      </c>
      <c r="I59" s="172" t="s">
        <v>681</v>
      </c>
      <c r="J59" s="171" t="s">
        <v>1487</v>
      </c>
      <c r="K59" s="171" t="s">
        <v>1484</v>
      </c>
      <c r="L59" s="168" t="s">
        <v>26</v>
      </c>
      <c r="M59" s="171" t="s">
        <v>55</v>
      </c>
      <c r="N59" s="143" t="str">
        <f t="shared" si="0"/>
        <v>09:00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1487</v>
      </c>
      <c r="E60" s="171"/>
      <c r="F60" s="172" t="s">
        <v>441</v>
      </c>
      <c r="G60" s="171" t="s">
        <v>1487</v>
      </c>
      <c r="H60" s="171"/>
      <c r="I60" s="172" t="s">
        <v>441</v>
      </c>
      <c r="J60" s="171" t="s">
        <v>1487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/>
      <c r="G61" s="171"/>
      <c r="H61" s="171"/>
      <c r="I61" s="172"/>
      <c r="J61" s="171"/>
      <c r="K61" s="171"/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/>
      </c>
      <c r="P61" s="143" t="str">
        <f t="shared" si="2"/>
        <v/>
      </c>
    </row>
    <row r="62" spans="1:16" ht="18" customHeight="1">
      <c r="A62" s="168" t="s">
        <v>22</v>
      </c>
      <c r="B62" s="171" t="s">
        <v>55</v>
      </c>
      <c r="C62" s="171"/>
      <c r="D62" s="171"/>
      <c r="E62" s="171"/>
      <c r="F62" s="172"/>
      <c r="G62" s="171"/>
      <c r="H62" s="171"/>
      <c r="I62" s="172"/>
      <c r="J62" s="171"/>
      <c r="K62" s="171"/>
      <c r="L62" s="168" t="s">
        <v>22</v>
      </c>
      <c r="M62" s="171" t="s">
        <v>55</v>
      </c>
      <c r="N62" s="143" t="str">
        <f t="shared" si="0"/>
        <v/>
      </c>
      <c r="O62" s="143" t="str">
        <f t="shared" si="1"/>
        <v/>
      </c>
      <c r="P62" s="143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171"/>
      <c r="H63" s="171"/>
      <c r="I63" s="172"/>
      <c r="J63" s="171"/>
      <c r="K63" s="171"/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/>
      </c>
      <c r="P63" s="143" t="str">
        <f t="shared" si="2"/>
        <v/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/>
      <c r="G65" s="171"/>
      <c r="H65" s="171"/>
      <c r="I65" s="173"/>
      <c r="J65" s="171"/>
      <c r="K65" s="171"/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/>
      </c>
      <c r="P65" s="143" t="str">
        <f t="shared" si="2"/>
        <v/>
      </c>
    </row>
    <row r="66" spans="1:16" ht="18" customHeight="1">
      <c r="A66" s="168" t="s">
        <v>16</v>
      </c>
      <c r="B66" s="171" t="s">
        <v>55</v>
      </c>
      <c r="C66" s="172"/>
      <c r="D66" s="171"/>
      <c r="E66" s="171"/>
      <c r="F66" s="172"/>
      <c r="G66" s="171"/>
      <c r="H66" s="171"/>
      <c r="I66" s="172"/>
      <c r="J66" s="171"/>
      <c r="K66" s="171"/>
      <c r="L66" s="168" t="s">
        <v>16</v>
      </c>
      <c r="M66" s="171" t="s">
        <v>55</v>
      </c>
      <c r="N66" s="143" t="str">
        <f t="shared" si="0"/>
        <v/>
      </c>
      <c r="O66" s="143" t="str">
        <f t="shared" si="1"/>
        <v/>
      </c>
      <c r="P66" s="143" t="str">
        <f t="shared" si="2"/>
        <v/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/>
      <c r="G68" s="171"/>
      <c r="H68" s="171"/>
      <c r="I68" s="172"/>
      <c r="J68" s="171"/>
      <c r="K68" s="171"/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/>
      </c>
      <c r="P68" s="143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/>
      <c r="G69" s="171"/>
      <c r="H69" s="171"/>
      <c r="I69" s="172"/>
      <c r="J69" s="171"/>
      <c r="K69" s="171"/>
      <c r="L69" s="168" t="s">
        <v>10</v>
      </c>
      <c r="M69" s="171" t="s">
        <v>55</v>
      </c>
      <c r="N69" s="143" t="str">
        <f t="shared" si="3"/>
        <v/>
      </c>
      <c r="O69" s="143" t="str">
        <f t="shared" si="4"/>
        <v/>
      </c>
      <c r="P69" s="143" t="str">
        <f t="shared" si="5"/>
        <v/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/>
      <c r="G71" s="171"/>
      <c r="H71" s="171"/>
      <c r="I71" s="172"/>
      <c r="J71" s="171"/>
      <c r="K71" s="171"/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/>
      </c>
      <c r="P71" s="143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171"/>
      <c r="H72" s="171"/>
      <c r="I72" s="172"/>
      <c r="J72" s="171"/>
      <c r="K72" s="171"/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/>
      </c>
      <c r="P72" s="143" t="str">
        <f t="shared" si="5"/>
        <v/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/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/>
      <c r="G74" s="178"/>
      <c r="H74" s="178"/>
      <c r="I74" s="179"/>
      <c r="J74" s="178"/>
      <c r="K74" s="178"/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/>
      </c>
      <c r="P74" s="143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/>
      <c r="G75" s="180"/>
      <c r="H75" s="180"/>
      <c r="I75" s="181"/>
      <c r="J75" s="180"/>
      <c r="K75" s="180"/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/>
      </c>
      <c r="P75" s="143" t="str">
        <f t="shared" si="5"/>
        <v/>
      </c>
    </row>
    <row r="76" spans="1:16" ht="18" customHeight="1">
      <c r="A76" s="177" t="s">
        <v>35</v>
      </c>
      <c r="B76" s="180" t="s">
        <v>52</v>
      </c>
      <c r="C76" s="181"/>
      <c r="D76" s="180"/>
      <c r="E76" s="180"/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/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/>
      <c r="J77" s="180"/>
      <c r="K77" s="180"/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/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/>
      <c r="G78" s="180"/>
      <c r="H78" s="180"/>
      <c r="I78" s="291"/>
      <c r="J78" s="180"/>
      <c r="K78" s="180"/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/>
      </c>
      <c r="P78" s="143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/>
      <c r="G79" s="180"/>
      <c r="H79" s="180"/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/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/>
      <c r="D80" s="180"/>
      <c r="E80" s="180"/>
      <c r="F80" s="181"/>
      <c r="G80" s="180"/>
      <c r="H80" s="180"/>
      <c r="I80" s="182"/>
      <c r="J80" s="180"/>
      <c r="K80" s="180"/>
      <c r="L80" s="177" t="s">
        <v>30</v>
      </c>
      <c r="M80" s="180" t="s">
        <v>52</v>
      </c>
      <c r="N80" s="143" t="str">
        <f t="shared" si="3"/>
        <v/>
      </c>
      <c r="O80" s="143" t="str">
        <f t="shared" si="4"/>
        <v/>
      </c>
      <c r="P80" s="143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/>
      <c r="G81" s="180"/>
      <c r="H81" s="180"/>
      <c r="I81" s="181"/>
      <c r="J81" s="180"/>
      <c r="K81" s="180"/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/>
      </c>
      <c r="P81" s="143" t="str">
        <f t="shared" si="5"/>
        <v/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/>
      <c r="G82" s="180"/>
      <c r="H82" s="180"/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/>
      </c>
      <c r="O82" s="143" t="str">
        <f t="shared" si="4"/>
        <v/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/>
      <c r="J83" s="180"/>
      <c r="K83" s="180"/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/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/>
      <c r="G84" s="180"/>
      <c r="H84" s="180"/>
      <c r="I84" s="181"/>
      <c r="J84" s="180"/>
      <c r="K84" s="180"/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/>
      </c>
      <c r="P84" s="143" t="str">
        <f t="shared" si="5"/>
        <v/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180"/>
      <c r="H85" s="180"/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/>
      </c>
      <c r="O85" s="143" t="str">
        <f t="shared" si="4"/>
        <v/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/>
      <c r="J86" s="180"/>
      <c r="K86" s="180"/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/>
      <c r="J87" s="180"/>
      <c r="K87" s="180"/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/>
      </c>
    </row>
    <row r="88" spans="1:16" ht="18" customHeight="1">
      <c r="A88" s="177" t="s">
        <v>20</v>
      </c>
      <c r="B88" s="180" t="s">
        <v>52</v>
      </c>
      <c r="C88" s="181"/>
      <c r="D88" s="180"/>
      <c r="E88" s="180"/>
      <c r="F88" s="291"/>
      <c r="G88" s="180"/>
      <c r="H88" s="180"/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/>
      </c>
      <c r="O88" s="143" t="str">
        <f t="shared" si="4"/>
        <v/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/>
      <c r="J89" s="180"/>
      <c r="K89" s="180"/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/>
      <c r="G90" s="180"/>
      <c r="H90" s="180"/>
      <c r="I90" s="181"/>
      <c r="J90" s="180"/>
      <c r="K90" s="180"/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/>
      </c>
      <c r="P90" s="143" t="str">
        <f t="shared" si="5"/>
        <v/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/>
      <c r="G91" s="180"/>
      <c r="H91" s="180"/>
      <c r="I91" s="181"/>
      <c r="J91" s="180"/>
      <c r="K91" s="180"/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/>
      </c>
      <c r="P91" s="143" t="str">
        <f t="shared" si="5"/>
        <v/>
      </c>
    </row>
    <row r="92" spans="1:16" ht="18" customHeight="1">
      <c r="A92" s="177" t="s">
        <v>12</v>
      </c>
      <c r="B92" s="180" t="s">
        <v>52</v>
      </c>
      <c r="C92" s="181"/>
      <c r="D92" s="180"/>
      <c r="E92" s="180"/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/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/>
      <c r="G93" s="180"/>
      <c r="H93" s="180"/>
      <c r="I93" s="181"/>
      <c r="J93" s="180"/>
      <c r="K93" s="180"/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/>
      </c>
      <c r="P93" s="143" t="str">
        <f t="shared" si="5"/>
        <v/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/>
      <c r="G94" s="180"/>
      <c r="H94" s="180"/>
      <c r="I94" s="181"/>
      <c r="J94" s="180"/>
      <c r="K94" s="180"/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/>
      </c>
      <c r="P94" s="143" t="str">
        <f t="shared" si="5"/>
        <v/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/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/>
      <c r="G96" s="180"/>
      <c r="H96" s="180"/>
      <c r="I96" s="182"/>
      <c r="J96" s="180"/>
      <c r="K96" s="180"/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/>
      </c>
      <c r="P96" s="143" t="str">
        <f t="shared" si="5"/>
        <v/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/>
      <c r="G97" s="184"/>
      <c r="H97" s="184"/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/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187"/>
      <c r="H98" s="187"/>
      <c r="I98" s="188"/>
      <c r="J98" s="187"/>
      <c r="K98" s="187"/>
      <c r="L98" s="186" t="s">
        <v>37</v>
      </c>
      <c r="M98" s="187" t="s">
        <v>44</v>
      </c>
      <c r="N98" s="143" t="str">
        <f t="shared" si="3"/>
        <v/>
      </c>
      <c r="O98" s="143" t="str">
        <f t="shared" si="4"/>
        <v/>
      </c>
      <c r="P98" s="143" t="str">
        <f t="shared" si="5"/>
        <v/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/>
      <c r="G99" s="189"/>
      <c r="H99" s="189"/>
      <c r="I99" s="190"/>
      <c r="J99" s="189"/>
      <c r="K99" s="189"/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/>
      </c>
      <c r="P99" s="143" t="str">
        <f t="shared" si="5"/>
        <v/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/>
      <c r="G100" s="189"/>
      <c r="H100" s="189"/>
      <c r="I100" s="190"/>
      <c r="J100" s="189"/>
      <c r="K100" s="189"/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/>
      </c>
      <c r="P100" s="143" t="str">
        <f t="shared" si="5"/>
        <v/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/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/>
      <c r="G102" s="189"/>
      <c r="H102" s="189"/>
      <c r="I102" s="190"/>
      <c r="J102" s="189"/>
      <c r="K102" s="189"/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/>
      </c>
      <c r="P102" s="143" t="str">
        <f t="shared" si="5"/>
        <v/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/>
      <c r="G103" s="189"/>
      <c r="H103" s="189"/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/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189"/>
      <c r="H104" s="189"/>
      <c r="I104" s="190"/>
      <c r="J104" s="189"/>
      <c r="K104" s="189"/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/>
      </c>
      <c r="P104" s="143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/>
      <c r="G105" s="189"/>
      <c r="H105" s="189"/>
      <c r="I105" s="190"/>
      <c r="J105" s="189"/>
      <c r="K105" s="189"/>
      <c r="L105" s="186" t="s">
        <v>29</v>
      </c>
      <c r="M105" s="189" t="s">
        <v>44</v>
      </c>
      <c r="N105" s="143" t="str">
        <f t="shared" si="3"/>
        <v/>
      </c>
      <c r="O105" s="143" t="str">
        <f t="shared" si="4"/>
        <v/>
      </c>
      <c r="P105" s="143" t="str">
        <f t="shared" si="5"/>
        <v/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/>
      <c r="G106" s="189"/>
      <c r="H106" s="189"/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/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89"/>
      <c r="H107" s="189"/>
      <c r="I107" s="190"/>
      <c r="J107" s="189"/>
      <c r="K107" s="189"/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/>
      </c>
      <c r="P107" s="143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/>
      <c r="J108" s="189"/>
      <c r="K108" s="189"/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/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/>
      <c r="G109" s="189"/>
      <c r="H109" s="189"/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/>
      </c>
      <c r="O109" s="143" t="str">
        <f t="shared" si="4"/>
        <v/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189"/>
      <c r="H110" s="189"/>
      <c r="I110" s="190"/>
      <c r="J110" s="189"/>
      <c r="K110" s="189"/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/>
      </c>
      <c r="P110" s="143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/>
      <c r="J111" s="189"/>
      <c r="K111" s="189"/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/>
      </c>
    </row>
    <row r="112" spans="1:16" ht="18" customHeight="1">
      <c r="A112" s="186" t="s">
        <v>20</v>
      </c>
      <c r="B112" s="189" t="s">
        <v>44</v>
      </c>
      <c r="C112" s="190"/>
      <c r="D112" s="189"/>
      <c r="E112" s="189"/>
      <c r="F112" s="190"/>
      <c r="G112" s="189"/>
      <c r="H112" s="189"/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/>
      </c>
      <c r="O112" s="143" t="str">
        <f t="shared" si="4"/>
        <v/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189"/>
      <c r="H113" s="189"/>
      <c r="I113" s="191"/>
      <c r="J113" s="189"/>
      <c r="K113" s="189"/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/>
      </c>
      <c r="P113" s="143" t="str">
        <f t="shared" si="5"/>
        <v/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/>
      <c r="J114" s="189"/>
      <c r="K114" s="189"/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/>
      <c r="G115" s="189"/>
      <c r="H115" s="189"/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/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189"/>
      <c r="H116" s="189"/>
      <c r="I116" s="190"/>
      <c r="J116" s="189"/>
      <c r="K116" s="189"/>
      <c r="L116" s="186" t="s">
        <v>12</v>
      </c>
      <c r="M116" s="189" t="s">
        <v>44</v>
      </c>
      <c r="N116" s="143" t="str">
        <f t="shared" si="3"/>
        <v/>
      </c>
      <c r="O116" s="143" t="str">
        <f t="shared" si="4"/>
        <v/>
      </c>
      <c r="P116" s="143" t="str">
        <f t="shared" si="5"/>
        <v/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/>
      <c r="J117" s="189"/>
      <c r="K117" s="189"/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/>
      <c r="G118" s="189"/>
      <c r="H118" s="189"/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/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189"/>
      <c r="H119" s="189"/>
      <c r="I119" s="190"/>
      <c r="J119" s="189"/>
      <c r="K119" s="189"/>
      <c r="L119" s="186" t="s">
        <v>6</v>
      </c>
      <c r="M119" s="189" t="s">
        <v>44</v>
      </c>
      <c r="N119" s="143" t="str">
        <f t="shared" si="3"/>
        <v/>
      </c>
      <c r="O119" s="143" t="str">
        <f t="shared" si="4"/>
        <v/>
      </c>
      <c r="P119" s="143" t="str">
        <f t="shared" si="5"/>
        <v/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/>
      <c r="J120" s="189"/>
      <c r="K120" s="189"/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/>
      <c r="G121" s="193"/>
      <c r="H121" s="193"/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/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196"/>
      <c r="H122" s="196"/>
      <c r="I122" s="197"/>
      <c r="J122" s="196"/>
      <c r="K122" s="196"/>
      <c r="L122" s="195" t="s">
        <v>37</v>
      </c>
      <c r="M122" s="196" t="s">
        <v>38</v>
      </c>
      <c r="N122" s="143" t="str">
        <f t="shared" si="3"/>
        <v/>
      </c>
      <c r="O122" s="143" t="str">
        <f t="shared" si="4"/>
        <v/>
      </c>
      <c r="P122" s="143" t="str">
        <f t="shared" si="5"/>
        <v/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/>
      <c r="G123" s="198"/>
      <c r="H123" s="198"/>
      <c r="I123" s="200"/>
      <c r="J123" s="198"/>
      <c r="K123" s="198"/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/>
      </c>
      <c r="P123" s="143" t="str">
        <f t="shared" si="5"/>
        <v/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/>
      <c r="G124" s="198"/>
      <c r="H124" s="198"/>
      <c r="I124" s="199"/>
      <c r="J124" s="198"/>
      <c r="K124" s="198"/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/>
      </c>
      <c r="P124" s="143" t="str">
        <f t="shared" si="5"/>
        <v/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/>
      <c r="G126" s="198"/>
      <c r="H126" s="198"/>
      <c r="I126" s="200"/>
      <c r="J126" s="198"/>
      <c r="K126" s="198"/>
      <c r="L126" s="195" t="s">
        <v>32</v>
      </c>
      <c r="M126" s="198" t="s">
        <v>38</v>
      </c>
      <c r="N126" s="143" t="str">
        <f t="shared" si="3"/>
        <v/>
      </c>
      <c r="O126" s="143" t="str">
        <f t="shared" si="4"/>
        <v/>
      </c>
      <c r="P126" s="143" t="str">
        <f t="shared" si="5"/>
        <v/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/>
      <c r="G127" s="198"/>
      <c r="H127" s="198"/>
      <c r="I127" s="199"/>
      <c r="J127" s="198"/>
      <c r="K127" s="198"/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/>
      </c>
      <c r="P127" s="143" t="str">
        <f t="shared" si="5"/>
        <v/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/>
      <c r="G129" s="198"/>
      <c r="H129" s="198"/>
      <c r="I129" s="200"/>
      <c r="J129" s="198"/>
      <c r="K129" s="198"/>
      <c r="L129" s="195" t="s">
        <v>29</v>
      </c>
      <c r="M129" s="198" t="s">
        <v>38</v>
      </c>
      <c r="N129" s="143" t="str">
        <f t="shared" si="3"/>
        <v/>
      </c>
      <c r="O129" s="143" t="str">
        <f t="shared" si="4"/>
        <v/>
      </c>
      <c r="P129" s="143" t="str">
        <f t="shared" si="5"/>
        <v/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/>
      <c r="G130" s="198"/>
      <c r="H130" s="198"/>
      <c r="I130" s="199"/>
      <c r="J130" s="198"/>
      <c r="K130" s="198"/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/>
      </c>
      <c r="P130" s="143" t="str">
        <f t="shared" si="5"/>
        <v/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/>
      <c r="G132" s="198"/>
      <c r="H132" s="198"/>
      <c r="I132" s="200"/>
      <c r="J132" s="198"/>
      <c r="K132" s="198"/>
      <c r="L132" s="195" t="s">
        <v>25</v>
      </c>
      <c r="M132" s="198" t="s">
        <v>38</v>
      </c>
      <c r="N132" s="143" t="str">
        <f t="shared" si="6"/>
        <v/>
      </c>
      <c r="O132" s="143" t="str">
        <f t="shared" si="7"/>
        <v/>
      </c>
      <c r="P132" s="143" t="str">
        <f t="shared" si="8"/>
        <v/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/>
      <c r="J133" s="198"/>
      <c r="K133" s="198"/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/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198"/>
      <c r="H134" s="198"/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/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/>
      <c r="D135" s="198"/>
      <c r="E135" s="198"/>
      <c r="F135" s="199"/>
      <c r="G135" s="198"/>
      <c r="H135" s="198"/>
      <c r="I135" s="200"/>
      <c r="J135" s="198"/>
      <c r="K135" s="198"/>
      <c r="L135" s="195" t="s">
        <v>21</v>
      </c>
      <c r="M135" s="198" t="s">
        <v>38</v>
      </c>
      <c r="N135" s="143" t="str">
        <f t="shared" si="6"/>
        <v/>
      </c>
      <c r="O135" s="143" t="str">
        <f t="shared" si="7"/>
        <v/>
      </c>
      <c r="P135" s="143" t="str">
        <f t="shared" si="8"/>
        <v/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/>
      <c r="G136" s="198"/>
      <c r="H136" s="198"/>
      <c r="I136" s="199"/>
      <c r="J136" s="198"/>
      <c r="K136" s="198"/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/>
      </c>
      <c r="P136" s="143" t="str">
        <f t="shared" si="8"/>
        <v/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/>
      <c r="G138" s="198"/>
      <c r="H138" s="198"/>
      <c r="I138" s="199"/>
      <c r="J138" s="198"/>
      <c r="K138" s="198"/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/>
      </c>
      <c r="P138" s="143" t="str">
        <f t="shared" si="8"/>
        <v/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/>
      <c r="G139" s="198"/>
      <c r="H139" s="198"/>
      <c r="I139" s="199"/>
      <c r="J139" s="198"/>
      <c r="K139" s="198"/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/>
      </c>
      <c r="P139" s="143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/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/>
      <c r="G141" s="198"/>
      <c r="H141" s="198"/>
      <c r="I141" s="199"/>
      <c r="J141" s="198"/>
      <c r="K141" s="198"/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/>
      </c>
      <c r="P141" s="143" t="str">
        <f t="shared" si="8"/>
        <v/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/>
      <c r="G142" s="198"/>
      <c r="H142" s="198"/>
      <c r="I142" s="199"/>
      <c r="J142" s="198"/>
      <c r="K142" s="198"/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/>
      </c>
      <c r="P142" s="143" t="str">
        <f t="shared" si="8"/>
        <v/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/>
      <c r="G144" s="198"/>
      <c r="H144" s="198"/>
      <c r="I144" s="199"/>
      <c r="J144" s="198"/>
      <c r="K144" s="198"/>
      <c r="L144" s="195" t="s">
        <v>5</v>
      </c>
      <c r="M144" s="198" t="s">
        <v>38</v>
      </c>
      <c r="N144" s="143" t="str">
        <f t="shared" si="6"/>
        <v/>
      </c>
      <c r="O144" s="143" t="str">
        <f t="shared" si="7"/>
        <v/>
      </c>
      <c r="P144" s="143" t="str">
        <f t="shared" si="8"/>
        <v/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/>
      <c r="G145" s="203"/>
      <c r="H145" s="203"/>
      <c r="I145" s="204"/>
      <c r="J145" s="203"/>
      <c r="K145" s="203"/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/>
      </c>
      <c r="P145" s="143" t="str">
        <f t="shared" si="8"/>
        <v/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/>
      <c r="G146" s="206"/>
      <c r="H146" s="206"/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/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/>
      <c r="J147" s="208"/>
      <c r="K147" s="208"/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/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/>
      <c r="G148" s="208"/>
      <c r="H148" s="208"/>
      <c r="I148" s="209"/>
      <c r="J148" s="208"/>
      <c r="K148" s="208"/>
      <c r="L148" s="205" t="s">
        <v>35</v>
      </c>
      <c r="M148" s="208" t="s">
        <v>2</v>
      </c>
      <c r="N148" s="143" t="str">
        <f t="shared" si="6"/>
        <v/>
      </c>
      <c r="O148" s="143" t="str">
        <f t="shared" si="7"/>
        <v/>
      </c>
      <c r="P148" s="143" t="str">
        <f t="shared" si="8"/>
        <v/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/>
      <c r="G149" s="208"/>
      <c r="H149" s="208"/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/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/>
      <c r="J150" s="208"/>
      <c r="K150" s="208"/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/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/>
      <c r="G151" s="208"/>
      <c r="H151" s="208"/>
      <c r="I151" s="209"/>
      <c r="J151" s="208"/>
      <c r="K151" s="208"/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/>
      </c>
      <c r="P151" s="143" t="str">
        <f t="shared" si="8"/>
        <v/>
      </c>
    </row>
    <row r="152" spans="1:16" ht="18" customHeight="1">
      <c r="A152" s="205" t="s">
        <v>30</v>
      </c>
      <c r="B152" s="208" t="s">
        <v>2</v>
      </c>
      <c r="C152" s="292"/>
      <c r="D152" s="208"/>
      <c r="E152" s="208"/>
      <c r="F152" s="209"/>
      <c r="G152" s="208"/>
      <c r="H152" s="208"/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/>
      </c>
      <c r="O152" s="143" t="str">
        <f t="shared" si="7"/>
        <v/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/>
      <c r="J153" s="208"/>
      <c r="K153" s="208"/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/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/>
      <c r="G154" s="208"/>
      <c r="H154" s="208"/>
      <c r="I154" s="209"/>
      <c r="J154" s="208"/>
      <c r="K154" s="208"/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/>
      </c>
      <c r="P154" s="143" t="str">
        <f t="shared" si="8"/>
        <v/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/>
      <c r="G155" s="208"/>
      <c r="H155" s="208"/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/>
      </c>
      <c r="O155" s="143" t="str">
        <f t="shared" si="7"/>
        <v/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/>
      <c r="J156" s="208"/>
      <c r="K156" s="208"/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/>
      <c r="G157" s="208"/>
      <c r="H157" s="208"/>
      <c r="I157" s="209"/>
      <c r="J157" s="208"/>
      <c r="K157" s="208"/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/>
      </c>
      <c r="P157" s="143" t="str">
        <f t="shared" si="8"/>
        <v/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/>
      <c r="G158" s="208"/>
      <c r="H158" s="208"/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/>
      </c>
      <c r="O158" s="143" t="str">
        <f t="shared" si="7"/>
        <v/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/>
      <c r="J159" s="208"/>
      <c r="K159" s="208"/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/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/>
      <c r="G160" s="208"/>
      <c r="H160" s="208"/>
      <c r="I160" s="209"/>
      <c r="J160" s="208"/>
      <c r="K160" s="208"/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/>
      </c>
      <c r="P160" s="143" t="str">
        <f t="shared" si="8"/>
        <v/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/>
      <c r="G161" s="208"/>
      <c r="H161" s="208"/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/>
      </c>
      <c r="O161" s="143" t="str">
        <f t="shared" si="7"/>
        <v/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/>
      <c r="J162" s="208"/>
      <c r="K162" s="208"/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/>
      <c r="G163" s="208"/>
      <c r="H163" s="208"/>
      <c r="I163" s="209"/>
      <c r="J163" s="208"/>
      <c r="K163" s="208"/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/>
      </c>
      <c r="P163" s="143" t="str">
        <f t="shared" si="8"/>
        <v/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/>
      <c r="G164" s="208"/>
      <c r="H164" s="208"/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/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08"/>
      <c r="H165" s="208"/>
      <c r="I165" s="209"/>
      <c r="J165" s="208"/>
      <c r="K165" s="208"/>
      <c r="L165" s="205" t="s">
        <v>10</v>
      </c>
      <c r="M165" s="208" t="s">
        <v>2</v>
      </c>
      <c r="N165" s="143" t="str">
        <f t="shared" si="6"/>
        <v/>
      </c>
      <c r="O165" s="143" t="str">
        <f t="shared" si="7"/>
        <v/>
      </c>
      <c r="P165" s="143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/>
      <c r="G166" s="208"/>
      <c r="H166" s="208"/>
      <c r="I166" s="209"/>
      <c r="J166" s="208"/>
      <c r="K166" s="208"/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/>
      </c>
      <c r="P166" s="143" t="str">
        <f t="shared" si="8"/>
        <v/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/>
      <c r="G167" s="208"/>
      <c r="H167" s="208"/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/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08"/>
      <c r="H168" s="208"/>
      <c r="I168" s="209"/>
      <c r="J168" s="208"/>
      <c r="K168" s="208"/>
      <c r="L168" s="205" t="s">
        <v>5</v>
      </c>
      <c r="M168" s="208" t="s">
        <v>2</v>
      </c>
      <c r="N168" s="143" t="str">
        <f t="shared" si="6"/>
        <v/>
      </c>
      <c r="O168" s="143" t="str">
        <f t="shared" si="7"/>
        <v/>
      </c>
      <c r="P168" s="143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/>
      <c r="G169" s="208"/>
      <c r="H169" s="208"/>
      <c r="I169" s="209"/>
      <c r="J169" s="208"/>
      <c r="K169" s="208"/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/>
      </c>
      <c r="P169" s="143" t="str">
        <f t="shared" si="8"/>
        <v/>
      </c>
    </row>
  </sheetData>
  <autoFilter ref="B1:K169" xr:uid="{43214550-866B-4296-AF4D-B97EB9C891BA}"/>
  <phoneticPr fontId="2"/>
  <conditionalFormatting sqref="C1:C1048576 F1:F1048576 I1:I1048576">
    <cfRule type="containsText" dxfId="40" priority="7" operator="containsText" text="'">
      <formula>NOT(ISERROR(SEARCH("'",C1)))</formula>
    </cfRule>
  </conditionalFormatting>
  <conditionalFormatting sqref="D1:D104 D106:D1048576">
    <cfRule type="containsText" dxfId="39" priority="5" operator="containsText" text="例行維護中">
      <formula>NOT(ISERROR(SEARCH("例行維護中",D1)))</formula>
    </cfRule>
  </conditionalFormatting>
  <conditionalFormatting sqref="D105">
    <cfRule type="containsText" dxfId="38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37" priority="3" operator="containsText" text="例行維護中">
      <formula>NOT(ISERROR(SEARCH("例行維護中",G1)))</formula>
    </cfRule>
  </conditionalFormatting>
  <conditionalFormatting sqref="J1:J1048576">
    <cfRule type="containsText" dxfId="36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35" priority="8" operator="containsText" text="定期メンテナンス中">
      <formula>NOT(ISERROR(SEARCH("定期メンテナンス中",E1)))</formula>
    </cfRule>
  </conditionalFormatting>
  <conditionalFormatting sqref="K2:K53">
    <cfRule type="containsText" dxfId="34" priority="1" operator="containsText" text="例行維護中">
      <formula>NOT(ISERROR(SEARCH("例行維護中",K2)))</formula>
    </cfRule>
  </conditionalFormatting>
  <conditionalFormatting sqref="K100">
    <cfRule type="containsText" dxfId="33" priority="9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778B-0E89-49E0-A596-558D2A6CA2E7}">
  <dimension ref="A1:P169"/>
  <sheetViews>
    <sheetView zoomScale="85" zoomScaleNormal="85" workbookViewId="0">
      <pane ySplit="1" topLeftCell="A140" activePane="bottomLeft" state="frozen"/>
      <selection pane="bottomLeft" activeCell="D171" sqref="D171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20.75" style="212" bestFit="1" customWidth="1"/>
    <col min="5" max="5" width="25.625" style="144" bestFit="1" customWidth="1"/>
    <col min="6" max="6" width="15.625" style="144" bestFit="1" customWidth="1"/>
    <col min="7" max="7" width="16.125" style="212" bestFit="1" customWidth="1"/>
    <col min="8" max="8" width="22.5" style="144" bestFit="1" customWidth="1"/>
    <col min="9" max="9" width="15.25" style="144" bestFit="1" customWidth="1"/>
    <col min="10" max="10" width="16.125" style="212" bestFit="1" customWidth="1"/>
    <col min="11" max="11" width="22.5" style="144" bestFit="1" customWidth="1"/>
    <col min="12" max="12" width="3.5" style="144" bestFit="1" customWidth="1"/>
    <col min="13" max="13" width="13.25" style="144" bestFit="1" customWidth="1"/>
    <col min="14" max="14" width="6.625" style="143" bestFit="1" customWidth="1"/>
    <col min="15" max="15" width="8.375" style="143" bestFit="1" customWidth="1"/>
    <col min="16" max="16" width="6.625" style="143" bestFit="1" customWidth="1"/>
    <col min="17" max="16384" width="14.2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530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1414</v>
      </c>
      <c r="F3" s="150" t="s">
        <v>269</v>
      </c>
      <c r="G3" s="149" t="s">
        <v>27</v>
      </c>
      <c r="H3" s="149" t="s">
        <v>1396</v>
      </c>
      <c r="I3" s="150" t="s">
        <v>1041</v>
      </c>
      <c r="J3" s="149" t="s">
        <v>346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1410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1396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1444</v>
      </c>
      <c r="D8" s="149" t="s">
        <v>456</v>
      </c>
      <c r="E8" s="149" t="s">
        <v>1446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1458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1403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1396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1415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345</v>
      </c>
      <c r="K13" s="149" t="s">
        <v>1403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396</v>
      </c>
      <c r="E15" s="149" t="s">
        <v>1445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1396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1440</v>
      </c>
      <c r="E19" s="149" t="s">
        <v>1442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1396</v>
      </c>
      <c r="I21" s="148" t="s">
        <v>1289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1406</v>
      </c>
      <c r="F22" s="150" t="s">
        <v>1288</v>
      </c>
      <c r="G22" s="149" t="s">
        <v>27</v>
      </c>
      <c r="H22" s="149" t="s">
        <v>1396</v>
      </c>
      <c r="I22" s="150" t="s">
        <v>1290</v>
      </c>
      <c r="J22" s="149" t="s">
        <v>13</v>
      </c>
      <c r="K22" s="149" t="s">
        <v>1403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1396</v>
      </c>
      <c r="I24" s="148" t="s">
        <v>1081</v>
      </c>
      <c r="J24" s="149" t="s">
        <v>13</v>
      </c>
      <c r="K24" s="149" t="s">
        <v>1403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1416</v>
      </c>
      <c r="F26" s="159" t="s">
        <v>141</v>
      </c>
      <c r="G26" s="158" t="s">
        <v>0</v>
      </c>
      <c r="H26" s="158" t="s">
        <v>1018</v>
      </c>
      <c r="I26" s="293" t="s">
        <v>530</v>
      </c>
      <c r="J26" s="158" t="s">
        <v>13</v>
      </c>
      <c r="K26" s="158" t="s">
        <v>1403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1408</v>
      </c>
      <c r="F30" s="162" t="s">
        <v>1195</v>
      </c>
      <c r="G30" s="160" t="s">
        <v>27</v>
      </c>
      <c r="H30" s="160" t="s">
        <v>1396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1396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1447</v>
      </c>
      <c r="D33" s="160" t="s">
        <v>1421</v>
      </c>
      <c r="E33" s="160" t="s">
        <v>1425</v>
      </c>
      <c r="F33" s="162" t="s">
        <v>887</v>
      </c>
      <c r="G33" s="160" t="s">
        <v>27</v>
      </c>
      <c r="H33" s="160" t="s">
        <v>1396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1459</v>
      </c>
      <c r="G35" s="160" t="s">
        <v>11</v>
      </c>
      <c r="H35" s="160" t="s">
        <v>1016</v>
      </c>
      <c r="I35" s="294" t="s">
        <v>1468</v>
      </c>
      <c r="J35" s="160" t="s">
        <v>13</v>
      </c>
      <c r="K35" s="160" t="s">
        <v>1403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986</v>
      </c>
      <c r="E36" s="160" t="s">
        <v>1435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1403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1405</v>
      </c>
      <c r="F39" s="162" t="s">
        <v>189</v>
      </c>
      <c r="G39" s="160" t="s">
        <v>17</v>
      </c>
      <c r="H39" s="160" t="s">
        <v>1017</v>
      </c>
      <c r="I39" s="289" t="s">
        <v>1469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1403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1411</v>
      </c>
      <c r="F42" s="162" t="s">
        <v>1299</v>
      </c>
      <c r="G42" s="160" t="s">
        <v>27</v>
      </c>
      <c r="H42" s="160" t="s">
        <v>1396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1449</v>
      </c>
      <c r="D44" s="160" t="s">
        <v>397</v>
      </c>
      <c r="E44" s="160" t="s">
        <v>1450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1396</v>
      </c>
      <c r="I45" s="162" t="s">
        <v>953</v>
      </c>
      <c r="J45" s="160" t="s">
        <v>13</v>
      </c>
      <c r="K45" s="160" t="s">
        <v>1403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1403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359</v>
      </c>
      <c r="E48" s="160" t="s">
        <v>1448</v>
      </c>
      <c r="F48" s="162" t="s">
        <v>1381</v>
      </c>
      <c r="G48" s="160" t="s">
        <v>27</v>
      </c>
      <c r="H48" s="160" t="s">
        <v>1396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1451</v>
      </c>
      <c r="D52" s="290" t="s">
        <v>986</v>
      </c>
      <c r="E52" s="171" t="s">
        <v>1435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1403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1460</v>
      </c>
      <c r="G54" s="171" t="s">
        <v>17</v>
      </c>
      <c r="H54" s="171" t="s">
        <v>1017</v>
      </c>
      <c r="I54" s="290" t="s">
        <v>1470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1474</v>
      </c>
      <c r="D59" s="171" t="s">
        <v>335</v>
      </c>
      <c r="E59" s="295" t="s">
        <v>1475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1412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1403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354</v>
      </c>
      <c r="H65" s="171" t="s">
        <v>940</v>
      </c>
      <c r="I65" s="173" t="s">
        <v>1033</v>
      </c>
      <c r="J65" s="171" t="s">
        <v>13</v>
      </c>
      <c r="K65" s="171" t="s">
        <v>1403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1396</v>
      </c>
      <c r="I68" s="172" t="s">
        <v>1062</v>
      </c>
      <c r="J68" s="171" t="s">
        <v>13</v>
      </c>
      <c r="K68" s="171" t="s">
        <v>1403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1424</v>
      </c>
      <c r="F69" s="172" t="s">
        <v>1312</v>
      </c>
      <c r="G69" s="171" t="s">
        <v>767</v>
      </c>
      <c r="H69" s="171" t="s">
        <v>1399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1396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1433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1403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1430</v>
      </c>
      <c r="G75" s="180" t="s">
        <v>343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1435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1479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1461</v>
      </c>
      <c r="G78" s="180" t="s">
        <v>11</v>
      </c>
      <c r="H78" s="180" t="s">
        <v>1016</v>
      </c>
      <c r="I78" s="291" t="s">
        <v>1471</v>
      </c>
      <c r="J78" s="180" t="s">
        <v>13</v>
      </c>
      <c r="K78" s="180" t="s">
        <v>1403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1431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1454</v>
      </c>
      <c r="D80" s="180" t="s">
        <v>1455</v>
      </c>
      <c r="E80" s="180" t="s">
        <v>1456</v>
      </c>
      <c r="F80" s="181"/>
      <c r="G80" s="180"/>
      <c r="H80" s="180"/>
      <c r="I80" s="182" t="s">
        <v>1429</v>
      </c>
      <c r="J80" s="180" t="s">
        <v>13</v>
      </c>
      <c r="K80" s="180" t="s">
        <v>1403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1462</v>
      </c>
      <c r="G81" s="180" t="s">
        <v>17</v>
      </c>
      <c r="H81" s="180" t="s">
        <v>1017</v>
      </c>
      <c r="I81" s="181" t="s">
        <v>1428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1437</v>
      </c>
      <c r="D82" s="180" t="s">
        <v>1438</v>
      </c>
      <c r="E82" s="180" t="s">
        <v>1439</v>
      </c>
      <c r="F82" s="181" t="s">
        <v>1463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1464</v>
      </c>
      <c r="G84" s="180" t="s">
        <v>0</v>
      </c>
      <c r="H84" s="180" t="s">
        <v>1018</v>
      </c>
      <c r="I84" s="181" t="s">
        <v>1472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1432</v>
      </c>
      <c r="D85" s="180" t="s">
        <v>1477</v>
      </c>
      <c r="E85" s="180" t="s">
        <v>1476</v>
      </c>
      <c r="F85" s="181" t="s">
        <v>1465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338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1434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510</v>
      </c>
      <c r="D88" s="180" t="s">
        <v>454</v>
      </c>
      <c r="E88" s="180" t="s">
        <v>1436</v>
      </c>
      <c r="F88" s="291" t="s">
        <v>1478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1480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1396</v>
      </c>
      <c r="I91" s="181" t="s">
        <v>993</v>
      </c>
      <c r="J91" s="180" t="s">
        <v>13</v>
      </c>
      <c r="K91" s="180" t="s">
        <v>1403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350</v>
      </c>
      <c r="D92" s="180" t="s">
        <v>1421</v>
      </c>
      <c r="E92" s="180" t="s">
        <v>1425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1422</v>
      </c>
      <c r="D95" s="180" t="s">
        <v>1088</v>
      </c>
      <c r="E95" s="180" t="s">
        <v>1427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1440</v>
      </c>
      <c r="E98" s="187" t="s">
        <v>1442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1396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1420</v>
      </c>
      <c r="E101" s="189" t="s">
        <v>1423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1396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1466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1412</v>
      </c>
      <c r="F105" s="190"/>
      <c r="G105" s="189"/>
      <c r="H105" s="189"/>
      <c r="I105" s="190" t="s">
        <v>1027</v>
      </c>
      <c r="J105" s="189" t="s">
        <v>13</v>
      </c>
      <c r="K105" s="189" t="s">
        <v>1403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1396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1403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1403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1412</v>
      </c>
      <c r="F109" s="190" t="s">
        <v>919</v>
      </c>
      <c r="G109" s="189" t="s">
        <v>27</v>
      </c>
      <c r="H109" s="189" t="s">
        <v>1396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1403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1410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1426</v>
      </c>
      <c r="F116" s="190" t="s">
        <v>1331</v>
      </c>
      <c r="G116" s="189" t="s">
        <v>27</v>
      </c>
      <c r="H116" s="189" t="s">
        <v>1396</v>
      </c>
      <c r="I116" s="190" t="s">
        <v>192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1407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1403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1441</v>
      </c>
      <c r="E122" s="196" t="s">
        <v>1443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1418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1473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1404</v>
      </c>
      <c r="F129" s="199" t="s">
        <v>1119</v>
      </c>
      <c r="G129" s="198" t="s">
        <v>17</v>
      </c>
      <c r="H129" s="198" t="s">
        <v>1017</v>
      </c>
      <c r="I129" s="200" t="s">
        <v>1481</v>
      </c>
      <c r="J129" s="198" t="s">
        <v>13</v>
      </c>
      <c r="K129" s="198" t="s">
        <v>1403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1409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1413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1417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1396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1404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1403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1407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1457</v>
      </c>
      <c r="D152" s="208" t="s">
        <v>45</v>
      </c>
      <c r="E152" s="208" t="s">
        <v>1416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1411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1418</v>
      </c>
      <c r="F158" s="209" t="s">
        <v>1354</v>
      </c>
      <c r="G158" s="208" t="s">
        <v>27</v>
      </c>
      <c r="H158" s="208" t="s">
        <v>1396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1403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1413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1419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1467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1403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1416</v>
      </c>
      <c r="F168" s="209"/>
      <c r="G168" s="208"/>
      <c r="H168" s="208"/>
      <c r="I168" s="209" t="s">
        <v>804</v>
      </c>
      <c r="J168" s="208" t="s">
        <v>13</v>
      </c>
      <c r="K168" s="208" t="s">
        <v>1403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2" priority="6" operator="containsText" text="'">
      <formula>NOT(ISERROR(SEARCH("'",C1)))</formula>
    </cfRule>
  </conditionalFormatting>
  <conditionalFormatting sqref="D1:D104 D106:D1048576">
    <cfRule type="containsText" dxfId="31" priority="5" operator="containsText" text="例行維護中">
      <formula>NOT(ISERROR(SEARCH("例行維護中",D1)))</formula>
    </cfRule>
  </conditionalFormatting>
  <conditionalFormatting sqref="D105">
    <cfRule type="containsText" dxfId="30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29" priority="3" operator="containsText" text="例行維護中">
      <formula>NOT(ISERROR(SEARCH("例行維護中",G1)))</formula>
    </cfRule>
  </conditionalFormatting>
  <conditionalFormatting sqref="J1:J1048576">
    <cfRule type="containsText" dxfId="28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27" priority="7" operator="containsText" text="定期メンテナンス中">
      <formula>NOT(ISERROR(SEARCH("定期メンテナンス中",E1)))</formula>
    </cfRule>
  </conditionalFormatting>
  <conditionalFormatting sqref="K2:K53">
    <cfRule type="containsText" dxfId="26" priority="1" operator="containsText" text="例行維護中">
      <formula>NOT(ISERROR(SEARCH("例行維護中",K2)))</formula>
    </cfRule>
  </conditionalFormatting>
  <conditionalFormatting sqref="K100">
    <cfRule type="containsText" dxfId="25" priority="8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E29" sqref="E29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0.75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4" priority="1" operator="containsText" text="'">
      <formula>NOT(ISERROR(SEARCH("'",C1)))</formula>
    </cfRule>
  </conditionalFormatting>
  <conditionalFormatting sqref="D1:D104 F1:F1048576 H1:H1048576 D106:D1048576">
    <cfRule type="containsText" dxfId="23" priority="6" operator="containsText" text="例行維護中">
      <formula>NOT(ISERROR(SEARCH("例行維護中",D1)))</formula>
    </cfRule>
  </conditionalFormatting>
  <conditionalFormatting sqref="D105">
    <cfRule type="containsText" dxfId="22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1" priority="2" operator="containsText" text="'">
      <formula>NOT(ISERROR(SEARCH("'",E1)))</formula>
    </cfRule>
  </conditionalFormatting>
  <conditionalFormatting sqref="G1:G1048576">
    <cfRule type="containsText" dxfId="20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F62" sqref="F62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19" priority="2" operator="containsText" text="'">
      <formula>NOT(ISERROR(SEARCH("'",C1)))</formula>
    </cfRule>
  </conditionalFormatting>
  <conditionalFormatting sqref="D1:D104 F1:F1048576 H1:H1048576 D106:D1048576">
    <cfRule type="containsText" dxfId="18" priority="4" operator="containsText" text="例行維護中">
      <formula>NOT(ISERROR(SEARCH("例行維護中",D1)))</formula>
    </cfRule>
  </conditionalFormatting>
  <conditionalFormatting sqref="D105">
    <cfRule type="containsText" dxfId="17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47" activePane="bottomLeft" state="frozen"/>
      <selection pane="bottomLeft" activeCell="D72" sqref="D72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1401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1401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1395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1400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1398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698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F173" sqref="F173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6.125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7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151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67" bestFit="1" customWidth="1"/>
    <col min="2" max="2" width="13.25" style="70" bestFit="1" customWidth="1"/>
    <col min="3" max="3" width="15.625" style="70" bestFit="1" customWidth="1"/>
    <col min="4" max="4" width="17" style="70" bestFit="1" customWidth="1"/>
    <col min="5" max="5" width="20" style="70" bestFit="1" customWidth="1"/>
    <col min="6" max="6" width="15.625" style="70" bestFit="1" customWidth="1"/>
    <col min="7" max="7" width="15.25" style="70" bestFit="1" customWidth="1"/>
    <col min="8" max="8" width="19.875" style="70" bestFit="1" customWidth="1"/>
    <col min="9" max="10" width="15.25" style="70" bestFit="1" customWidth="1"/>
    <col min="11" max="11" width="19.875" style="70" bestFit="1" customWidth="1"/>
    <col min="12" max="12" width="3.5" style="70" bestFit="1" customWidth="1"/>
    <col min="13" max="13" width="9" style="70"/>
    <col min="14" max="16" width="5.8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timeList</vt:lpstr>
      <vt:lpstr>S3_三四週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2025-12-16T15:43:02Z</dcterms:modified>
</cp:coreProperties>
</file>